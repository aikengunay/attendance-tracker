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ikengunay/Developer/Projects/teaching/attendance/"/>
    </mc:Choice>
  </mc:AlternateContent>
  <xr:revisionPtr revIDLastSave="0" documentId="13_ncr:1_{38A57C26-C195-DA41-B76C-EEB0C888DCF2}" xr6:coauthVersionLast="47" xr6:coauthVersionMax="47" xr10:uidLastSave="{00000000-0000-0000-0000-000000000000}"/>
  <bookViews>
    <workbookView xWindow="17020" yWindow="760" windowWidth="13220" windowHeight="18880" xr2:uid="{00000000-000D-0000-FFFF-FFFF00000000}"/>
  </bookViews>
  <sheets>
    <sheet name="summary" sheetId="4" r:id="rId1"/>
    <sheet name="all" sheetId="3" r:id="rId2"/>
    <sheet name="midterms" sheetId="1" r:id="rId3"/>
    <sheet name="finals" sheetId="2" r:id="rId4"/>
  </sheets>
  <definedNames>
    <definedName name="_xlnm.Print_Area" localSheetId="1">all!$A$1:$P$44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4" l="1"/>
  <c r="A67" i="4"/>
  <c r="B64" i="4"/>
  <c r="A64" i="4"/>
  <c r="B61" i="4"/>
  <c r="A55" i="4"/>
  <c r="B52" i="4"/>
  <c r="A52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E39" i="4"/>
  <c r="C39" i="4"/>
  <c r="B39" i="4"/>
  <c r="C38" i="4"/>
  <c r="B38" i="4"/>
  <c r="C37" i="4"/>
  <c r="B37" i="4"/>
  <c r="C36" i="4"/>
  <c r="B36" i="4"/>
  <c r="C35" i="4"/>
  <c r="B35" i="4"/>
  <c r="C34" i="4"/>
  <c r="B34" i="4"/>
  <c r="E33" i="4"/>
  <c r="C33" i="4"/>
  <c r="B33" i="4"/>
  <c r="C32" i="4"/>
  <c r="B32" i="4"/>
  <c r="C31" i="4"/>
  <c r="B31" i="4"/>
  <c r="C30" i="4"/>
  <c r="B30" i="4"/>
  <c r="C29" i="4"/>
  <c r="B29" i="4"/>
  <c r="C28" i="4"/>
  <c r="B28" i="4"/>
  <c r="E27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AG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A73" i="4" s="1"/>
  <c r="AG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B72" i="4" s="1"/>
  <c r="A24" i="3"/>
  <c r="A72" i="4" s="1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B71" i="4" s="1"/>
  <c r="A23" i="3"/>
  <c r="A71" i="4" s="1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B70" i="4" s="1"/>
  <c r="A22" i="3"/>
  <c r="A70" i="4" s="1"/>
  <c r="AG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B69" i="4" s="1"/>
  <c r="A21" i="3"/>
  <c r="A69" i="4" s="1"/>
  <c r="AG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B68" i="4" s="1"/>
  <c r="A20" i="3"/>
  <c r="A68" i="4" s="1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B67" i="4" s="1"/>
  <c r="A19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D66" i="4" s="1"/>
  <c r="B18" i="3"/>
  <c r="B66" i="4" s="1"/>
  <c r="A18" i="3"/>
  <c r="A66" i="4" s="1"/>
  <c r="AG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D65" i="4" s="1"/>
  <c r="G17" i="3"/>
  <c r="F17" i="3"/>
  <c r="E17" i="3"/>
  <c r="D17" i="3"/>
  <c r="C17" i="3"/>
  <c r="B17" i="3"/>
  <c r="B65" i="4" s="1"/>
  <c r="A17" i="3"/>
  <c r="A65" i="4" s="1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63" i="4" s="1"/>
  <c r="A15" i="3"/>
  <c r="A63" i="4" s="1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62" i="4" s="1"/>
  <c r="A14" i="3"/>
  <c r="A62" i="4" s="1"/>
  <c r="AG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D61" i="4" s="1"/>
  <c r="G13" i="3"/>
  <c r="F13" i="3"/>
  <c r="E13" i="3"/>
  <c r="D13" i="3"/>
  <c r="C13" i="3"/>
  <c r="B13" i="3"/>
  <c r="A13" i="3"/>
  <c r="A61" i="4" s="1"/>
  <c r="AG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60" i="4" s="1"/>
  <c r="A12" i="3"/>
  <c r="A60" i="4" s="1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D59" i="4" s="1"/>
  <c r="B11" i="3"/>
  <c r="B59" i="4" s="1"/>
  <c r="A11" i="3"/>
  <c r="A59" i="4" s="1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58" i="4" s="1"/>
  <c r="A10" i="3"/>
  <c r="A58" i="4" s="1"/>
  <c r="AG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57" i="4" s="1"/>
  <c r="A9" i="3"/>
  <c r="A57" i="4" s="1"/>
  <c r="AG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56" i="4" s="1"/>
  <c r="A8" i="3"/>
  <c r="A56" i="4" s="1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C55" i="4" s="1"/>
  <c r="B7" i="3"/>
  <c r="B55" i="4" s="1"/>
  <c r="A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E29" i="4" s="1"/>
  <c r="K6" i="3"/>
  <c r="J6" i="3"/>
  <c r="I6" i="3"/>
  <c r="H6" i="3"/>
  <c r="G6" i="3"/>
  <c r="F6" i="3"/>
  <c r="E6" i="3"/>
  <c r="D6" i="3"/>
  <c r="C6" i="3"/>
  <c r="B6" i="3"/>
  <c r="B54" i="4" s="1"/>
  <c r="A6" i="3"/>
  <c r="A54" i="4" s="1"/>
  <c r="AG5" i="3"/>
  <c r="AD5" i="3"/>
  <c r="AC5" i="3"/>
  <c r="AB5" i="3"/>
  <c r="AA5" i="3"/>
  <c r="Z5" i="3"/>
  <c r="Y5" i="3"/>
  <c r="X5" i="3"/>
  <c r="E41" i="4" s="1"/>
  <c r="W5" i="3"/>
  <c r="V5" i="3"/>
  <c r="U5" i="3"/>
  <c r="T5" i="3"/>
  <c r="S5" i="3"/>
  <c r="R5" i="3"/>
  <c r="Q5" i="3"/>
  <c r="P5" i="3"/>
  <c r="O5" i="3"/>
  <c r="N5" i="3"/>
  <c r="M5" i="3"/>
  <c r="L5" i="3"/>
  <c r="D29" i="4" s="1"/>
  <c r="F29" i="4" s="1"/>
  <c r="G29" i="4" s="1"/>
  <c r="K5" i="3"/>
  <c r="J5" i="3"/>
  <c r="I5" i="3"/>
  <c r="H5" i="3"/>
  <c r="G5" i="3"/>
  <c r="F5" i="3"/>
  <c r="E5" i="3"/>
  <c r="D5" i="3"/>
  <c r="C5" i="3"/>
  <c r="B5" i="3"/>
  <c r="B53" i="4" s="1"/>
  <c r="A5" i="3"/>
  <c r="A53" i="4" s="1"/>
  <c r="AD4" i="3"/>
  <c r="AC4" i="3"/>
  <c r="AB4" i="3"/>
  <c r="AA4" i="3"/>
  <c r="Z4" i="3"/>
  <c r="Y4" i="3"/>
  <c r="X4" i="3"/>
  <c r="W4" i="3"/>
  <c r="V4" i="3"/>
  <c r="D39" i="4" s="1"/>
  <c r="F39" i="4" s="1"/>
  <c r="G39" i="4" s="1"/>
  <c r="U4" i="3"/>
  <c r="T4" i="3"/>
  <c r="E37" i="4" s="1"/>
  <c r="S4" i="3"/>
  <c r="R4" i="3"/>
  <c r="E35" i="4" s="1"/>
  <c r="Q4" i="3"/>
  <c r="P4" i="3"/>
  <c r="O4" i="3"/>
  <c r="N4" i="3"/>
  <c r="M4" i="3"/>
  <c r="L4" i="3"/>
  <c r="K4" i="3"/>
  <c r="J4" i="3"/>
  <c r="D27" i="4" s="1"/>
  <c r="F27" i="4" s="1"/>
  <c r="G27" i="4" s="1"/>
  <c r="I4" i="3"/>
  <c r="H4" i="3"/>
  <c r="E25" i="4" s="1"/>
  <c r="G4" i="3"/>
  <c r="F4" i="3"/>
  <c r="E23" i="4" s="1"/>
  <c r="E4" i="3"/>
  <c r="D4" i="3"/>
  <c r="C4" i="3"/>
  <c r="B4" i="3"/>
  <c r="A4" i="3"/>
  <c r="AD3" i="3"/>
  <c r="E47" i="4" s="1"/>
  <c r="AC3" i="3"/>
  <c r="E46" i="4" s="1"/>
  <c r="AB3" i="3"/>
  <c r="E45" i="4" s="1"/>
  <c r="AA3" i="3"/>
  <c r="E44" i="4" s="1"/>
  <c r="Z3" i="3"/>
  <c r="E43" i="4" s="1"/>
  <c r="Y3" i="3"/>
  <c r="E42" i="4" s="1"/>
  <c r="X3" i="3"/>
  <c r="W3" i="3"/>
  <c r="E40" i="4" s="1"/>
  <c r="V3" i="3"/>
  <c r="U3" i="3"/>
  <c r="E38" i="4" s="1"/>
  <c r="T3" i="3"/>
  <c r="S3" i="3"/>
  <c r="E36" i="4" s="1"/>
  <c r="R3" i="3"/>
  <c r="D35" i="4" s="1"/>
  <c r="Q3" i="3"/>
  <c r="E34" i="4" s="1"/>
  <c r="P3" i="3"/>
  <c r="D33" i="4" s="1"/>
  <c r="F33" i="4" s="1"/>
  <c r="G33" i="4" s="1"/>
  <c r="O3" i="3"/>
  <c r="E32" i="4" s="1"/>
  <c r="N3" i="3"/>
  <c r="E31" i="4" s="1"/>
  <c r="M3" i="3"/>
  <c r="E30" i="4" s="1"/>
  <c r="L3" i="3"/>
  <c r="K3" i="3"/>
  <c r="E28" i="4" s="1"/>
  <c r="J3" i="3"/>
  <c r="I3" i="3"/>
  <c r="E26" i="4" s="1"/>
  <c r="H3" i="3"/>
  <c r="G3" i="3"/>
  <c r="E24" i="4" s="1"/>
  <c r="F3" i="3"/>
  <c r="D23" i="4" s="1"/>
  <c r="E3" i="3"/>
  <c r="E22" i="4" s="1"/>
  <c r="D3" i="3"/>
  <c r="C3" i="3"/>
  <c r="B3" i="3"/>
  <c r="B51" i="4" s="1"/>
  <c r="A3" i="3"/>
  <c r="A51" i="4" s="1"/>
  <c r="Q25" i="2"/>
  <c r="Q24" i="2"/>
  <c r="Q23" i="2"/>
  <c r="AG23" i="3" s="1"/>
  <c r="Q22" i="2"/>
  <c r="AG22" i="3" s="1"/>
  <c r="Q21" i="2"/>
  <c r="Q20" i="2"/>
  <c r="Q19" i="2"/>
  <c r="AG19" i="3" s="1"/>
  <c r="Q18" i="2"/>
  <c r="AG18" i="3" s="1"/>
  <c r="Q17" i="2"/>
  <c r="Q16" i="2"/>
  <c r="AG16" i="3" s="1"/>
  <c r="Q15" i="2"/>
  <c r="AG15" i="3" s="1"/>
  <c r="Q14" i="2"/>
  <c r="AG14" i="3" s="1"/>
  <c r="Q13" i="2"/>
  <c r="Q12" i="2"/>
  <c r="Q11" i="2"/>
  <c r="AG11" i="3" s="1"/>
  <c r="Q10" i="2"/>
  <c r="AG10" i="3" s="1"/>
  <c r="Q9" i="2"/>
  <c r="Q8" i="2"/>
  <c r="Q7" i="2"/>
  <c r="AG7" i="3" s="1"/>
  <c r="Q6" i="2"/>
  <c r="AG6" i="3" s="1"/>
  <c r="Q5" i="2"/>
  <c r="Q4" i="2"/>
  <c r="AG4" i="3" s="1"/>
  <c r="Q3" i="2"/>
  <c r="AG3" i="3" s="1"/>
  <c r="Q25" i="1"/>
  <c r="AE25" i="3" s="1"/>
  <c r="AI25" i="3" s="1"/>
  <c r="Q24" i="1"/>
  <c r="AE24" i="3" s="1"/>
  <c r="AI24" i="3" s="1"/>
  <c r="Q23" i="1"/>
  <c r="AE23" i="3" s="1"/>
  <c r="Q22" i="1"/>
  <c r="AE22" i="3" s="1"/>
  <c r="Q21" i="1"/>
  <c r="AE21" i="3" s="1"/>
  <c r="AI21" i="3" s="1"/>
  <c r="Q20" i="1"/>
  <c r="AE20" i="3" s="1"/>
  <c r="AI20" i="3" s="1"/>
  <c r="Q19" i="1"/>
  <c r="AE19" i="3" s="1"/>
  <c r="AI19" i="3" s="1"/>
  <c r="Q18" i="1"/>
  <c r="AE18" i="3" s="1"/>
  <c r="Q17" i="1"/>
  <c r="AE17" i="3" s="1"/>
  <c r="AI17" i="3" s="1"/>
  <c r="Q16" i="1"/>
  <c r="AE16" i="3" s="1"/>
  <c r="AI16" i="3" s="1"/>
  <c r="Q15" i="1"/>
  <c r="AE15" i="3" s="1"/>
  <c r="Q14" i="1"/>
  <c r="AE14" i="3" s="1"/>
  <c r="Q13" i="1"/>
  <c r="AE13" i="3" s="1"/>
  <c r="AI13" i="3" s="1"/>
  <c r="Q12" i="1"/>
  <c r="AE12" i="3" s="1"/>
  <c r="AI12" i="3" s="1"/>
  <c r="Q11" i="1"/>
  <c r="AE11" i="3" s="1"/>
  <c r="Q10" i="1"/>
  <c r="AE10" i="3" s="1"/>
  <c r="Q9" i="1"/>
  <c r="AE9" i="3" s="1"/>
  <c r="AI9" i="3" s="1"/>
  <c r="Q8" i="1"/>
  <c r="AE8" i="3" s="1"/>
  <c r="AI8" i="3" s="1"/>
  <c r="Q7" i="1"/>
  <c r="AE7" i="3" s="1"/>
  <c r="AI7" i="3" s="1"/>
  <c r="Q6" i="1"/>
  <c r="AE6" i="3" s="1"/>
  <c r="Q5" i="1"/>
  <c r="AE5" i="3" s="1"/>
  <c r="AI5" i="3" s="1"/>
  <c r="Q4" i="1"/>
  <c r="AE4" i="3" s="1"/>
  <c r="AI4" i="3" s="1"/>
  <c r="Q3" i="1"/>
  <c r="AE3" i="3" s="1"/>
  <c r="D73" i="4" l="1"/>
  <c r="D72" i="4"/>
  <c r="D71" i="4"/>
  <c r="D70" i="4"/>
  <c r="D69" i="4"/>
  <c r="D68" i="4"/>
  <c r="D67" i="4"/>
  <c r="D64" i="4"/>
  <c r="D63" i="4"/>
  <c r="D62" i="4"/>
  <c r="D60" i="4"/>
  <c r="D58" i="4"/>
  <c r="D57" i="4"/>
  <c r="D56" i="4"/>
  <c r="D52" i="4"/>
  <c r="D51" i="4"/>
  <c r="E21" i="4"/>
  <c r="D21" i="4"/>
  <c r="D53" i="4"/>
  <c r="D54" i="4"/>
  <c r="AI23" i="3"/>
  <c r="AI22" i="3"/>
  <c r="AI11" i="3"/>
  <c r="AI14" i="3"/>
  <c r="AI3" i="3"/>
  <c r="AI15" i="3"/>
  <c r="AI10" i="3"/>
  <c r="AI6" i="3"/>
  <c r="AI18" i="3"/>
  <c r="F23" i="4"/>
  <c r="G23" i="4" s="1"/>
  <c r="F35" i="4"/>
  <c r="G35" i="4" s="1"/>
  <c r="C53" i="4"/>
  <c r="E53" i="4" s="1"/>
  <c r="C56" i="4"/>
  <c r="E56" i="4" s="1"/>
  <c r="C59" i="4"/>
  <c r="E59" i="4" s="1"/>
  <c r="C62" i="4"/>
  <c r="E62" i="4" s="1"/>
  <c r="C65" i="4"/>
  <c r="E65" i="4" s="1"/>
  <c r="C68" i="4"/>
  <c r="E68" i="4" s="1"/>
  <c r="C71" i="4"/>
  <c r="E71" i="4" s="1"/>
  <c r="D25" i="4"/>
  <c r="F25" i="4" s="1"/>
  <c r="G25" i="4" s="1"/>
  <c r="D31" i="4"/>
  <c r="F31" i="4" s="1"/>
  <c r="G31" i="4" s="1"/>
  <c r="D37" i="4"/>
  <c r="F37" i="4" s="1"/>
  <c r="G37" i="4" s="1"/>
  <c r="D41" i="4"/>
  <c r="F41" i="4" s="1"/>
  <c r="G41" i="4" s="1"/>
  <c r="D43" i="4"/>
  <c r="F43" i="4" s="1"/>
  <c r="G43" i="4" s="1"/>
  <c r="D45" i="4"/>
  <c r="F45" i="4" s="1"/>
  <c r="G45" i="4" s="1"/>
  <c r="D47" i="4"/>
  <c r="F47" i="4" s="1"/>
  <c r="G47" i="4" s="1"/>
  <c r="C52" i="4"/>
  <c r="E52" i="4" s="1"/>
  <c r="C58" i="4"/>
  <c r="E58" i="4" s="1"/>
  <c r="C61" i="4"/>
  <c r="E61" i="4" s="1"/>
  <c r="C64" i="4"/>
  <c r="E64" i="4" s="1"/>
  <c r="C67" i="4"/>
  <c r="E67" i="4" s="1"/>
  <c r="C70" i="4"/>
  <c r="E70" i="4" s="1"/>
  <c r="C73" i="4"/>
  <c r="E73" i="4" s="1"/>
  <c r="D55" i="4"/>
  <c r="E55" i="4" s="1"/>
  <c r="D20" i="4"/>
  <c r="F20" i="4" s="1"/>
  <c r="G20" i="4" s="1"/>
  <c r="D22" i="4"/>
  <c r="F22" i="4" s="1"/>
  <c r="G22" i="4" s="1"/>
  <c r="D24" i="4"/>
  <c r="F24" i="4" s="1"/>
  <c r="G24" i="4" s="1"/>
  <c r="D26" i="4"/>
  <c r="F26" i="4" s="1"/>
  <c r="G26" i="4" s="1"/>
  <c r="D28" i="4"/>
  <c r="F28" i="4" s="1"/>
  <c r="G28" i="4" s="1"/>
  <c r="D30" i="4"/>
  <c r="F30" i="4" s="1"/>
  <c r="G30" i="4" s="1"/>
  <c r="D32" i="4"/>
  <c r="F32" i="4" s="1"/>
  <c r="G32" i="4" s="1"/>
  <c r="D34" i="4"/>
  <c r="F34" i="4" s="1"/>
  <c r="G34" i="4" s="1"/>
  <c r="D36" i="4"/>
  <c r="F36" i="4" s="1"/>
  <c r="G36" i="4" s="1"/>
  <c r="D38" i="4"/>
  <c r="F38" i="4" s="1"/>
  <c r="G38" i="4" s="1"/>
  <c r="D40" i="4"/>
  <c r="F40" i="4" s="1"/>
  <c r="G40" i="4" s="1"/>
  <c r="D42" i="4"/>
  <c r="F42" i="4" s="1"/>
  <c r="G42" i="4" s="1"/>
  <c r="D44" i="4"/>
  <c r="F44" i="4" s="1"/>
  <c r="G44" i="4" s="1"/>
  <c r="D46" i="4"/>
  <c r="F46" i="4" s="1"/>
  <c r="G46" i="4" s="1"/>
  <c r="C51" i="4"/>
  <c r="E51" i="4" s="1"/>
  <c r="C54" i="4"/>
  <c r="E54" i="4" s="1"/>
  <c r="C57" i="4"/>
  <c r="E57" i="4" s="1"/>
  <c r="C60" i="4"/>
  <c r="E60" i="4" s="1"/>
  <c r="C63" i="4"/>
  <c r="E63" i="4" s="1"/>
  <c r="C66" i="4"/>
  <c r="E66" i="4" s="1"/>
  <c r="C69" i="4"/>
  <c r="E69" i="4" s="1"/>
  <c r="C72" i="4"/>
  <c r="E72" i="4" s="1"/>
  <c r="E20" i="4"/>
  <c r="F21" i="4" l="1"/>
  <c r="G21" i="4" s="1"/>
  <c r="G55" i="4"/>
  <c r="F55" i="4"/>
  <c r="G71" i="4"/>
  <c r="F71" i="4"/>
  <c r="G68" i="4"/>
  <c r="F68" i="4"/>
  <c r="G73" i="4"/>
  <c r="F73" i="4"/>
  <c r="H73" i="4" s="1"/>
  <c r="G64" i="4"/>
  <c r="F64" i="4"/>
  <c r="G61" i="4"/>
  <c r="F61" i="4"/>
  <c r="G65" i="4"/>
  <c r="F65" i="4"/>
  <c r="G69" i="4"/>
  <c r="F69" i="4"/>
  <c r="G63" i="4"/>
  <c r="F63" i="4"/>
  <c r="G58" i="4"/>
  <c r="F58" i="4"/>
  <c r="G62" i="4"/>
  <c r="F62" i="4"/>
  <c r="G66" i="4"/>
  <c r="F66" i="4"/>
  <c r="G57" i="4"/>
  <c r="F57" i="4"/>
  <c r="G52" i="4"/>
  <c r="F52" i="4"/>
  <c r="G59" i="4"/>
  <c r="F59" i="4"/>
  <c r="G70" i="4"/>
  <c r="F70" i="4"/>
  <c r="G54" i="4"/>
  <c r="F54" i="4"/>
  <c r="G56" i="4"/>
  <c r="F56" i="4"/>
  <c r="G72" i="4"/>
  <c r="F72" i="4"/>
  <c r="G67" i="4"/>
  <c r="F67" i="4"/>
  <c r="G60" i="4"/>
  <c r="F60" i="4"/>
  <c r="G51" i="4"/>
  <c r="F51" i="4"/>
  <c r="G53" i="4"/>
  <c r="F53" i="4"/>
  <c r="B8" i="4" s="1"/>
  <c r="H63" i="4" l="1"/>
  <c r="H67" i="4"/>
  <c r="H70" i="4"/>
  <c r="H72" i="4"/>
  <c r="H68" i="4"/>
  <c r="H69" i="4"/>
  <c r="H71" i="4"/>
  <c r="H65" i="4"/>
  <c r="H66" i="4"/>
  <c r="H62" i="4"/>
  <c r="H60" i="4"/>
  <c r="H64" i="4"/>
  <c r="H58" i="4"/>
  <c r="H59" i="4"/>
  <c r="H61" i="4"/>
  <c r="H52" i="4"/>
  <c r="H56" i="4"/>
  <c r="H57" i="4"/>
  <c r="H51" i="4"/>
  <c r="B9" i="4"/>
  <c r="H55" i="4"/>
  <c r="B7" i="4"/>
  <c r="H53" i="4"/>
  <c r="B6" i="4"/>
  <c r="H54" i="4"/>
</calcChain>
</file>

<file path=xl/sharedStrings.xml><?xml version="1.0" encoding="utf-8"?>
<sst xmlns="http://schemas.openxmlformats.org/spreadsheetml/2006/main" count="169" uniqueCount="93">
  <si>
    <t>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</si>
  <si>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</si>
  <si>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</si>
  <si>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</si>
  <si>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</si>
  <si>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</si>
  <si>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</si>
  <si>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</si>
  <si>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</si>
  <si>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MIDTERM</t>
  </si>
  <si>
    <t>Wednesday, July 15, 2026</t>
  </si>
  <si>
    <t>Saturday, July 18, 2026</t>
  </si>
  <si>
    <t>Wednesday, July 22, 2026</t>
  </si>
  <si>
    <t>Saturday, July 25, 2026</t>
  </si>
  <si>
    <t>Wednesday, July 29, 2026</t>
  </si>
  <si>
    <t>Saturday, August 1, 2026</t>
  </si>
  <si>
    <t>Wednesday, August 5, 2026</t>
  </si>
  <si>
    <t>Saturday, August 8, 2026</t>
  </si>
  <si>
    <t>Wednesday, August 12, 2026</t>
  </si>
  <si>
    <t>Saturday, August 15, 2026</t>
  </si>
  <si>
    <t>Wednesday, August 19, 2026</t>
  </si>
  <si>
    <t>Saturday, August 22, 2026</t>
  </si>
  <si>
    <t>Wednesday, August 26, 2026</t>
  </si>
  <si>
    <t>Saturday, August 29, 2026</t>
  </si>
  <si>
    <t>ALARCON, AHLDRIN ARELLANO</t>
  </si>
  <si>
    <t>AMILLER, RHEIGN MHAYUMI REGADO</t>
  </si>
  <si>
    <t>ANGELES, SHANNAN CATE SILVINO</t>
  </si>
  <si>
    <t>AVORQUE, JENNY BACLEA-AN</t>
  </si>
  <si>
    <t>BAUTISTA, ANGELA MAE EVASCO</t>
  </si>
  <si>
    <t>BITAGO, GERALD BANCA</t>
  </si>
  <si>
    <t>COSME, GILIANNE QUILATAN</t>
  </si>
  <si>
    <t>DALANDAS, ZACARIA JR. AMORAN</t>
  </si>
  <si>
    <t>DIVINA, RICH SEBASTIAN</t>
  </si>
  <si>
    <t>GACAD, MARC AARON MENDOZA</t>
  </si>
  <si>
    <t>MAGPUSAO, ZANDRA MINGO</t>
  </si>
  <si>
    <t>NANA, CARLO RAPHAEL TAGUBA</t>
  </si>
  <si>
    <t>OLA, MARK JORIZ CARDINOZA</t>
  </si>
  <si>
    <t>QUIJANO, REYNALD RODRIGUEZ</t>
  </si>
  <si>
    <t>RUBIA, MIKE ANGELO ALDOVINO</t>
  </si>
  <si>
    <t>SOTELO, MINDAPHIL FRANCISCA</t>
  </si>
  <si>
    <t>STA. ANA, JUSTINE FRANCIS BALAMBAN</t>
  </si>
  <si>
    <t>SURLA, CINDY ELLA SARAIL</t>
  </si>
  <si>
    <t>TEJADA, SYMON JOSHUA CARAIG</t>
  </si>
  <si>
    <t>TOLOSA, ALDEN JR. ZAMORA</t>
  </si>
  <si>
    <t>VENTUCILLO, RENZ JAY ELBANO</t>
  </si>
  <si>
    <t>VILLALUZ, ROAN JAMES AMARGO</t>
  </si>
  <si>
    <t>VILLANUEVA, ROJGE JERICHO</t>
  </si>
  <si>
    <t>Week 8</t>
  </si>
  <si>
    <t>Week 9</t>
  </si>
  <si>
    <t>Week 10</t>
  </si>
  <si>
    <t>Week 11</t>
  </si>
  <si>
    <t>Week 12</t>
  </si>
  <si>
    <t>Week 13</t>
  </si>
  <si>
    <t>Week 14</t>
  </si>
  <si>
    <t>FINAL</t>
  </si>
  <si>
    <t>Wednesday, September 2, 2026</t>
  </si>
  <si>
    <t>Saturday, September 5, 2026</t>
  </si>
  <si>
    <t>Wednesday, September 9, 2026</t>
  </si>
  <si>
    <t>Saturday, September 12, 2026</t>
  </si>
  <si>
    <t>Wednesday, September 16, 2026</t>
  </si>
  <si>
    <t>Saturday, September 19, 2026</t>
  </si>
  <si>
    <t>Wednesday, September 23, 2026</t>
  </si>
  <si>
    <t>Saturday, September 26, 2026</t>
  </si>
  <si>
    <t>Wednesday, September 30, 2026</t>
  </si>
  <si>
    <t>Saturday, October 3, 2026</t>
  </si>
  <si>
    <t>Wednesday, October 7, 2026</t>
  </si>
  <si>
    <t>Saturday, October 10, 2026</t>
  </si>
  <si>
    <t>Wednesday, October 14, 2026</t>
  </si>
  <si>
    <t>Saturday, October 17, 2026</t>
  </si>
  <si>
    <t>TOTAL</t>
  </si>
  <si>
    <t>Attendance Summary</t>
  </si>
  <si>
    <t>Rules: blanks ignored (not absent). Attended = codes 1-4. Absent = code 0 only. Marked = attended + absent (only days entered). Presence % = attended / marked. Quality % = average weight (1=1, 2=0.75, 3=0.69, 4=0.63, 0=0). Source: all tab (live).</t>
  </si>
  <si>
    <t>CLASS SNAPSHOT</t>
  </si>
  <si>
    <t>Students</t>
  </si>
  <si>
    <t>23</t>
  </si>
  <si>
    <t>Class presence avg</t>
  </si>
  <si>
    <t>Class quality avg</t>
  </si>
  <si>
    <t>Most attended</t>
  </si>
  <si>
    <t>Most absent</t>
  </si>
  <si>
    <t>Note</t>
  </si>
  <si>
    <t>Presence % ignores blanks. Absent = marked 0 only. Flag uses Presence %. Ties: each tied student is flagged; snapshot shows one name + "(+ties)".</t>
  </si>
  <si>
    <t>BY DAY</t>
  </si>
  <si>
    <t>Date</t>
  </si>
  <si>
    <t>Week</t>
  </si>
  <si>
    <t>Attended</t>
  </si>
  <si>
    <t>Absent</t>
  </si>
  <si>
    <t>Marked</t>
  </si>
  <si>
    <t>Day rate</t>
  </si>
  <si>
    <t>BY STUDENT</t>
  </si>
  <si>
    <t>Student</t>
  </si>
  <si>
    <t>Presence %</t>
  </si>
  <si>
    <t>Quality %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</si>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</sst>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2"/>
      <name val="Arial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2" fontId="5" fillId="0" borderId="7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6" borderId="16" xfId="0" applyFont="1" applyFill="1" applyBorder="1"/>
    <xf numFmtId="0" fontId="9" fillId="0" borderId="16" xfId="0" applyFont="1" applyBorder="1" applyAlignment="1">
      <alignment horizontal="left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64" fontId="9" fillId="0" borderId="16" xfId="0" applyNumberFormat="1" applyFont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 wrapText="1"/>
    </xf>
    <xf numFmtId="164" fontId="9" fillId="3" borderId="16" xfId="0" applyNumberFormat="1" applyFont="1" applyFill="1" applyBorder="1" applyAlignment="1">
      <alignment horizontal="center" vertical="center" wrapText="1"/>
    </xf>
    <xf numFmtId="0" fontId="0" fillId="0" borderId="19" xfId="0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3" borderId="19" xfId="0" applyFill="1" applyBorder="1" applyAlignment="1" applyProtection="1">
      <alignment horizontal="center" vertical="center"/>
      <protection locked="0"/>
    </xf>
    <xf numFmtId="0" fontId="11" fillId="3" borderId="20" xfId="0" applyFont="1" applyFill="1" applyBorder="1" applyAlignment="1" applyProtection="1">
      <alignment vertical="center"/>
      <protection locked="0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20" xfId="0" applyFont="1" applyFill="1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164" fontId="9" fillId="0" borderId="16" xfId="0" applyNumberFormat="1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 wrapText="1"/>
    </xf>
    <xf numFmtId="164" fontId="9" fillId="3" borderId="16" xfId="0" applyNumberFormat="1" applyFont="1" applyFill="1" applyBorder="1" applyAlignment="1">
      <alignment horizontal="center" vertical="center"/>
    </xf>
    <xf numFmtId="2" fontId="0" fillId="3" borderId="16" xfId="0" applyNumberFormat="1" applyFill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>
      <alignment horizontal="center" vertical="center"/>
    </xf>
    <xf numFmtId="0" fontId="0" fillId="0" borderId="18" xfId="0" applyBorder="1"/>
    <xf numFmtId="0" fontId="4" fillId="5" borderId="11" xfId="0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0" fillId="0" borderId="13" xfId="0" applyBorder="1" applyProtection="1">
      <protection locked="0"/>
    </xf>
    <xf numFmtId="2" fontId="0" fillId="3" borderId="16" xfId="0" applyNumberForma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0" fillId="0" borderId="15" xfId="0" applyBorder="1"/>
    <xf numFmtId="0" fontId="4" fillId="4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2" xfId="0" applyFont="1" applyBorder="1" applyAlignment="1">
      <alignment horizontal="center" vertical="center" wrapText="1"/>
    </xf>
    <xf numFmtId="0" fontId="0" fillId="0" borderId="14" xfId="0" applyBorder="1"/>
    <xf numFmtId="0" fontId="4" fillId="0" borderId="11" xfId="0" applyFont="1" applyBorder="1" applyAlignment="1">
      <alignment horizontal="center" vertical="center" wrapText="1"/>
    </xf>
    <xf numFmtId="0" fontId="0" fillId="0" borderId="13" xfId="0" applyBorder="1"/>
    <xf numFmtId="164" fontId="9" fillId="0" borderId="16" xfId="0" applyNumberFormat="1" applyFont="1" applyBorder="1" applyAlignment="1">
      <alignment horizontal="left" vertical="center" wrapText="1"/>
    </xf>
    <xf numFmtId="0" fontId="0" fillId="0" borderId="17" xfId="0" applyBorder="1"/>
    <xf numFmtId="0" fontId="8" fillId="5" borderId="0" xfId="0" applyFont="1" applyFill="1"/>
    <xf numFmtId="0" fontId="0" fillId="0" borderId="0" xfId="0"/>
    <xf numFmtId="0" fontId="7" fillId="0" borderId="1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8" fillId="7" borderId="0" xfId="0" applyFont="1" applyFill="1"/>
    <xf numFmtId="0" fontId="6" fillId="0" borderId="0" xfId="0" applyFont="1"/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tabSelected="1" workbookViewId="0">
      <pane ySplit="4" topLeftCell="A5" activePane="bottomLeft" state="frozen"/>
      <selection pane="bottomLeft" activeCell="B13" sqref="B13"/>
    </sheetView>
  </sheetViews>
  <sheetFormatPr baseColWidth="10" defaultColWidth="8.7109375" defaultRowHeight="16" x14ac:dyDescent="0.2"/>
  <cols>
    <col min="1" max="1" width="17.42578125" bestFit="1" customWidth="1"/>
    <col min="2" max="2" width="38" customWidth="1"/>
    <col min="3" max="3" width="11" customWidth="1"/>
    <col min="4" max="5" width="10" customWidth="1"/>
    <col min="6" max="7" width="12" customWidth="1"/>
    <col min="8" max="8" width="16" customWidth="1"/>
  </cols>
  <sheetData>
    <row r="1" spans="1:8" ht="24" customHeight="1" x14ac:dyDescent="0.25">
      <c r="A1" s="71" t="s">
        <v>70</v>
      </c>
      <c r="B1" s="66"/>
      <c r="C1" s="66"/>
      <c r="D1" s="66"/>
      <c r="E1" s="66"/>
      <c r="F1" s="66"/>
      <c r="G1" s="66"/>
      <c r="H1" s="66"/>
    </row>
    <row r="2" spans="1:8" ht="48" customHeight="1" x14ac:dyDescent="0.2">
      <c r="A2" s="68" t="s">
        <v>71</v>
      </c>
      <c r="B2" s="66"/>
      <c r="C2" s="66"/>
      <c r="D2" s="66"/>
      <c r="E2" s="66"/>
      <c r="F2" s="66"/>
      <c r="G2" s="66"/>
      <c r="H2" s="66"/>
    </row>
    <row r="4" spans="1:8" x14ac:dyDescent="0.2">
      <c r="A4" s="72" t="s">
        <v>72</v>
      </c>
      <c r="B4" s="66"/>
      <c r="C4" s="66"/>
    </row>
    <row r="5" spans="1:8" x14ac:dyDescent="0.2">
      <c r="A5" s="11" t="s">
        <v>73</v>
      </c>
      <c r="B5" s="69" t="s">
        <v>74</v>
      </c>
      <c r="C5" s="64"/>
      <c r="D5" s="64"/>
      <c r="E5" s="64"/>
      <c r="F5" s="41"/>
    </row>
    <row r="6" spans="1:8" x14ac:dyDescent="0.2">
      <c r="A6" s="11" t="s">
        <v>75</v>
      </c>
      <c r="B6" s="63">
        <f>IFERROR(AVERAGEIF(E51:E73,"&gt;0",F51:F73),"-")</f>
        <v>0.65217391304347827</v>
      </c>
      <c r="C6" s="64"/>
      <c r="D6" s="64"/>
      <c r="E6" s="64"/>
      <c r="F6" s="41"/>
    </row>
    <row r="7" spans="1:8" x14ac:dyDescent="0.2">
      <c r="A7" s="11" t="s">
        <v>76</v>
      </c>
      <c r="B7" s="63">
        <f>IFERROR(AVERAGEIF(E51:E73,"&gt;0",G51:G73),"-")</f>
        <v>0.65217391304347827</v>
      </c>
      <c r="C7" s="64"/>
      <c r="D7" s="64"/>
      <c r="E7" s="64"/>
      <c r="F7" s="41"/>
    </row>
    <row r="8" spans="1:8" x14ac:dyDescent="0.2">
      <c r="A8" s="11" t="s">
        <v>77</v>
      </c>
      <c r="B8" s="69" t="str">
        <f>IF(COUNTIF($E$51:$E$73,"&gt;0")=0,"-",IF(MAX($F$51:$F$73)=MIN($F$51:$F$73),"Tied (all equal Presence %)",IFERROR(INDEX($B$51:$B$73,MATCH(MAX($F$51:$F$73),$F$51:$F$73,0))&amp;IF(COUNTIF($F$51:$F$73,MAX($F$51:$F$73))&gt;1," (+ties - see Flag)",""),"-")))</f>
        <v>ANGELES, SHANNAN CATE SILVINO (+ties - see Flag)</v>
      </c>
      <c r="C8" s="64"/>
      <c r="D8" s="64"/>
      <c r="E8" s="64"/>
      <c r="F8" s="41"/>
    </row>
    <row r="9" spans="1:8" x14ac:dyDescent="0.2">
      <c r="A9" s="11" t="s">
        <v>78</v>
      </c>
      <c r="B9" s="69" t="str">
        <f>IF(COUNTIF($E$51:$E$73,"&gt;0")=0,"-",IF(MAX($F$51:$F$73)=MIN($F$51:$F$73),"Tied (all equal Presence %)",IFERROR(INDEX($B$51:$B$73,MATCH(MIN($F$51:$F$73),$F$51:$F$73,0))&amp;IF(COUNTIF($F$51:$F$73,MIN($F$51:$F$73))&gt;1," (+ties - see Flag)",""),"-")))</f>
        <v>ALARCON, AHLDRIN ARELLANO (+ties - see Flag)</v>
      </c>
      <c r="C9" s="64"/>
      <c r="D9" s="64"/>
      <c r="E9" s="64"/>
      <c r="F9" s="41"/>
    </row>
    <row r="10" spans="1:8" ht="50" customHeight="1" x14ac:dyDescent="0.2">
      <c r="A10" s="11" t="s">
        <v>79</v>
      </c>
      <c r="B10" s="67" t="s">
        <v>80</v>
      </c>
      <c r="C10" s="64"/>
      <c r="D10" s="64"/>
      <c r="E10" s="64"/>
      <c r="F10" s="41"/>
    </row>
    <row r="18" spans="1:7" x14ac:dyDescent="0.2">
      <c r="A18" s="65" t="s">
        <v>81</v>
      </c>
      <c r="B18" s="66"/>
      <c r="C18" s="66"/>
      <c r="D18" s="66"/>
      <c r="E18" s="66"/>
      <c r="F18" s="66"/>
      <c r="G18" s="66"/>
    </row>
    <row r="19" spans="1:7" x14ac:dyDescent="0.2">
      <c r="A19" s="13" t="s">
        <v>0</v>
      </c>
      <c r="B19" s="13" t="s">
        <v>82</v>
      </c>
      <c r="C19" s="13" t="s">
        <v>83</v>
      </c>
      <c r="D19" s="13" t="s">
        <v>84</v>
      </c>
      <c r="E19" s="13" t="s">
        <v>85</v>
      </c>
      <c r="F19" s="13" t="s">
        <v>86</v>
      </c>
      <c r="G19" s="13" t="s">
        <v>87</v>
      </c>
    </row>
    <row r="20" spans="1:7" x14ac:dyDescent="0.2">
      <c r="A20" s="14">
        <v>1</v>
      </c>
      <c r="B20" s="12" t="str">
        <f>all!C2</f>
        <v>Wednesday, July 15, 2026</v>
      </c>
      <c r="C20" s="14" t="str">
        <f>all!C1</f>
        <v>Week 1</v>
      </c>
      <c r="D20" s="14">
        <f>SUMPRODUCT((all!C$3:C$25&gt;=1)*(all!C$3:C$25&lt;=4)*1)</f>
        <v>0</v>
      </c>
      <c r="E20" s="14">
        <f>SUMPRODUCT(--(all!C$3:C$25=0))</f>
        <v>0</v>
      </c>
      <c r="F20" s="14">
        <f t="shared" ref="F20:F47" si="0">D20+E20</f>
        <v>0</v>
      </c>
      <c r="G20" s="15" t="str">
        <f t="shared" ref="G20:G47" si="1">IF(F20=0,"-",D20/F20)</f>
        <v>-</v>
      </c>
    </row>
    <row r="21" spans="1:7" x14ac:dyDescent="0.2">
      <c r="A21" s="16">
        <v>2</v>
      </c>
      <c r="B21" s="17" t="str">
        <f>all!D2</f>
        <v>Saturday, July 18, 2026</v>
      </c>
      <c r="C21" s="16" t="str">
        <f>all!C1</f>
        <v>Week 1</v>
      </c>
      <c r="D21" s="16">
        <f>SUMPRODUCT((all!D$3:D$25&gt;=1)*(all!D$3:D$25&lt;=4)*1)</f>
        <v>15</v>
      </c>
      <c r="E21" s="16">
        <f>SUMPRODUCT(--(all!D$3:D$25=0))</f>
        <v>8</v>
      </c>
      <c r="F21" s="16">
        <f t="shared" si="0"/>
        <v>23</v>
      </c>
      <c r="G21" s="18">
        <f t="shared" si="1"/>
        <v>0.65217391304347827</v>
      </c>
    </row>
    <row r="22" spans="1:7" x14ac:dyDescent="0.2">
      <c r="A22" s="14">
        <v>3</v>
      </c>
      <c r="B22" s="12" t="str">
        <f>all!E2</f>
        <v>Wednesday, July 22, 2026</v>
      </c>
      <c r="C22" s="14" t="str">
        <f>all!E1</f>
        <v>Week 2</v>
      </c>
      <c r="D22" s="14">
        <f>SUMPRODUCT((all!E$3:E$25&gt;=1)*(all!E$3:E$25&lt;=4)*1)</f>
        <v>0</v>
      </c>
      <c r="E22" s="14">
        <f>SUMPRODUCT(--(all!E$3:E$25=0))</f>
        <v>0</v>
      </c>
      <c r="F22" s="14">
        <f t="shared" si="0"/>
        <v>0</v>
      </c>
      <c r="G22" s="15" t="str">
        <f t="shared" si="1"/>
        <v>-</v>
      </c>
    </row>
    <row r="23" spans="1:7" x14ac:dyDescent="0.2">
      <c r="A23" s="16">
        <v>4</v>
      </c>
      <c r="B23" s="17" t="str">
        <f>all!F2</f>
        <v>Saturday, July 25, 2026</v>
      </c>
      <c r="C23" s="16" t="str">
        <f>all!E1</f>
        <v>Week 2</v>
      </c>
      <c r="D23" s="16">
        <f>SUMPRODUCT((all!F$3:F$25&gt;=1)*(all!F$3:F$25&lt;=4)*1)</f>
        <v>0</v>
      </c>
      <c r="E23" s="16">
        <f>SUMPRODUCT(--(all!F$3:F$25=0))</f>
        <v>0</v>
      </c>
      <c r="F23" s="16">
        <f t="shared" si="0"/>
        <v>0</v>
      </c>
      <c r="G23" s="18" t="str">
        <f t="shared" si="1"/>
        <v>-</v>
      </c>
    </row>
    <row r="24" spans="1:7" x14ac:dyDescent="0.2">
      <c r="A24" s="14">
        <v>5</v>
      </c>
      <c r="B24" s="12" t="str">
        <f>all!G2</f>
        <v>Wednesday, July 29, 2026</v>
      </c>
      <c r="C24" s="14" t="str">
        <f>all!G1</f>
        <v>Week 3</v>
      </c>
      <c r="D24" s="14">
        <f>SUMPRODUCT((all!G$3:G$25&gt;=1)*(all!G$3:G$25&lt;=4)*1)</f>
        <v>0</v>
      </c>
      <c r="E24" s="14">
        <f>SUMPRODUCT(--(all!G$3:G$25=0))</f>
        <v>0</v>
      </c>
      <c r="F24" s="14">
        <f t="shared" si="0"/>
        <v>0</v>
      </c>
      <c r="G24" s="15" t="str">
        <f t="shared" si="1"/>
        <v>-</v>
      </c>
    </row>
    <row r="25" spans="1:7" x14ac:dyDescent="0.2">
      <c r="A25" s="16">
        <v>6</v>
      </c>
      <c r="B25" s="17" t="str">
        <f>all!H2</f>
        <v>Saturday, August 1, 2026</v>
      </c>
      <c r="C25" s="16" t="str">
        <f>all!G1</f>
        <v>Week 3</v>
      </c>
      <c r="D25" s="16">
        <f>SUMPRODUCT((all!H$3:H$25&gt;=1)*(all!H$3:H$25&lt;=4)*1)</f>
        <v>0</v>
      </c>
      <c r="E25" s="16">
        <f>SUMPRODUCT(--(all!H$3:H$25=0))</f>
        <v>0</v>
      </c>
      <c r="F25" s="16">
        <f t="shared" si="0"/>
        <v>0</v>
      </c>
      <c r="G25" s="18" t="str">
        <f t="shared" si="1"/>
        <v>-</v>
      </c>
    </row>
    <row r="26" spans="1:7" x14ac:dyDescent="0.2">
      <c r="A26" s="14">
        <v>7</v>
      </c>
      <c r="B26" s="12" t="str">
        <f>all!I2</f>
        <v>Wednesday, August 5, 2026</v>
      </c>
      <c r="C26" s="14" t="str">
        <f>all!I1</f>
        <v>Week 4</v>
      </c>
      <c r="D26" s="14">
        <f>SUMPRODUCT((all!I$3:I$25&gt;=1)*(all!I$3:I$25&lt;=4)*1)</f>
        <v>0</v>
      </c>
      <c r="E26" s="14">
        <f>SUMPRODUCT(--(all!I$3:I$25=0))</f>
        <v>0</v>
      </c>
      <c r="F26" s="14">
        <f t="shared" si="0"/>
        <v>0</v>
      </c>
      <c r="G26" s="15" t="str">
        <f t="shared" si="1"/>
        <v>-</v>
      </c>
    </row>
    <row r="27" spans="1:7" x14ac:dyDescent="0.2">
      <c r="A27" s="16">
        <v>8</v>
      </c>
      <c r="B27" s="17" t="str">
        <f>all!J2</f>
        <v>Saturday, August 8, 2026</v>
      </c>
      <c r="C27" s="16" t="str">
        <f>all!I1</f>
        <v>Week 4</v>
      </c>
      <c r="D27" s="16">
        <f>SUMPRODUCT((all!J$3:J$25&gt;=1)*(all!J$3:J$25&lt;=4)*1)</f>
        <v>0</v>
      </c>
      <c r="E27" s="16">
        <f>SUMPRODUCT(--(all!J$3:J$25=0))</f>
        <v>0</v>
      </c>
      <c r="F27" s="16">
        <f t="shared" si="0"/>
        <v>0</v>
      </c>
      <c r="G27" s="18" t="str">
        <f t="shared" si="1"/>
        <v>-</v>
      </c>
    </row>
    <row r="28" spans="1:7" x14ac:dyDescent="0.2">
      <c r="A28" s="14">
        <v>9</v>
      </c>
      <c r="B28" s="12" t="str">
        <f>all!K2</f>
        <v>Wednesday, August 12, 2026</v>
      </c>
      <c r="C28" s="14" t="str">
        <f>all!K1</f>
        <v>Week 5</v>
      </c>
      <c r="D28" s="14">
        <f>SUMPRODUCT((all!K$3:K$25&gt;=1)*(all!K$3:K$25&lt;=4)*1)</f>
        <v>0</v>
      </c>
      <c r="E28" s="14">
        <f>SUMPRODUCT(--(all!K$3:K$25=0))</f>
        <v>0</v>
      </c>
      <c r="F28" s="14">
        <f t="shared" si="0"/>
        <v>0</v>
      </c>
      <c r="G28" s="15" t="str">
        <f t="shared" si="1"/>
        <v>-</v>
      </c>
    </row>
    <row r="29" spans="1:7" x14ac:dyDescent="0.2">
      <c r="A29" s="16">
        <v>10</v>
      </c>
      <c r="B29" s="17" t="str">
        <f>all!L2</f>
        <v>Saturday, August 15, 2026</v>
      </c>
      <c r="C29" s="16" t="str">
        <f>all!K1</f>
        <v>Week 5</v>
      </c>
      <c r="D29" s="16">
        <f>SUMPRODUCT((all!L$3:L$25&gt;=1)*(all!L$3:L$25&lt;=4)*1)</f>
        <v>0</v>
      </c>
      <c r="E29" s="16">
        <f>SUMPRODUCT(--(all!L$3:L$25=0))</f>
        <v>0</v>
      </c>
      <c r="F29" s="16">
        <f t="shared" si="0"/>
        <v>0</v>
      </c>
      <c r="G29" s="18" t="str">
        <f t="shared" si="1"/>
        <v>-</v>
      </c>
    </row>
    <row r="30" spans="1:7" x14ac:dyDescent="0.2">
      <c r="A30" s="14">
        <v>11</v>
      </c>
      <c r="B30" s="12" t="str">
        <f>all!M2</f>
        <v>Wednesday, August 19, 2026</v>
      </c>
      <c r="C30" s="14" t="str">
        <f>all!M1</f>
        <v>Week 6</v>
      </c>
      <c r="D30" s="14">
        <f>SUMPRODUCT((all!M$3:M$25&gt;=1)*(all!M$3:M$25&lt;=4)*1)</f>
        <v>0</v>
      </c>
      <c r="E30" s="14">
        <f>SUMPRODUCT(--(all!M$3:M$25=0))</f>
        <v>0</v>
      </c>
      <c r="F30" s="14">
        <f t="shared" si="0"/>
        <v>0</v>
      </c>
      <c r="G30" s="15" t="str">
        <f t="shared" si="1"/>
        <v>-</v>
      </c>
    </row>
    <row r="31" spans="1:7" x14ac:dyDescent="0.2">
      <c r="A31" s="16">
        <v>12</v>
      </c>
      <c r="B31" s="17" t="str">
        <f>all!N2</f>
        <v>Saturday, August 22, 2026</v>
      </c>
      <c r="C31" s="16" t="str">
        <f>all!M1</f>
        <v>Week 6</v>
      </c>
      <c r="D31" s="16">
        <f>SUMPRODUCT((all!N$3:N$25&gt;=1)*(all!N$3:N$25&lt;=4)*1)</f>
        <v>0</v>
      </c>
      <c r="E31" s="16">
        <f>SUMPRODUCT(--(all!N$3:N$25=0))</f>
        <v>0</v>
      </c>
      <c r="F31" s="16">
        <f t="shared" si="0"/>
        <v>0</v>
      </c>
      <c r="G31" s="18" t="str">
        <f t="shared" si="1"/>
        <v>-</v>
      </c>
    </row>
    <row r="32" spans="1:7" x14ac:dyDescent="0.2">
      <c r="A32" s="14">
        <v>13</v>
      </c>
      <c r="B32" s="12" t="str">
        <f>all!O2</f>
        <v>Wednesday, August 26, 2026</v>
      </c>
      <c r="C32" s="14" t="str">
        <f>all!O1</f>
        <v>Week 7</v>
      </c>
      <c r="D32" s="14">
        <f>SUMPRODUCT((all!O$3:O$25&gt;=1)*(all!O$3:O$25&lt;=4)*1)</f>
        <v>0</v>
      </c>
      <c r="E32" s="14">
        <f>SUMPRODUCT(--(all!O$3:O$25=0))</f>
        <v>0</v>
      </c>
      <c r="F32" s="14">
        <f t="shared" si="0"/>
        <v>0</v>
      </c>
      <c r="G32" s="15" t="str">
        <f t="shared" si="1"/>
        <v>-</v>
      </c>
    </row>
    <row r="33" spans="1:7" x14ac:dyDescent="0.2">
      <c r="A33" s="16">
        <v>14</v>
      </c>
      <c r="B33" s="17" t="str">
        <f>all!P2</f>
        <v>Saturday, August 29, 2026</v>
      </c>
      <c r="C33" s="16" t="str">
        <f>all!O1</f>
        <v>Week 7</v>
      </c>
      <c r="D33" s="16">
        <f>SUMPRODUCT((all!P$3:P$25&gt;=1)*(all!P$3:P$25&lt;=4)*1)</f>
        <v>0</v>
      </c>
      <c r="E33" s="16">
        <f>SUMPRODUCT(--(all!P$3:P$25=0))</f>
        <v>0</v>
      </c>
      <c r="F33" s="16">
        <f t="shared" si="0"/>
        <v>0</v>
      </c>
      <c r="G33" s="18" t="str">
        <f t="shared" si="1"/>
        <v>-</v>
      </c>
    </row>
    <row r="34" spans="1:7" x14ac:dyDescent="0.2">
      <c r="A34" s="14">
        <v>15</v>
      </c>
      <c r="B34" s="12" t="str">
        <f>all!Q2</f>
        <v>Wednesday, September 2, 2026</v>
      </c>
      <c r="C34" s="14" t="str">
        <f>all!Q1</f>
        <v>Week 8</v>
      </c>
      <c r="D34" s="14">
        <f>SUMPRODUCT((all!Q$3:Q$25&gt;=1)*(all!Q$3:Q$25&lt;=4)*1)</f>
        <v>0</v>
      </c>
      <c r="E34" s="14">
        <f>SUMPRODUCT(--(all!Q$3:Q$25=0))</f>
        <v>0</v>
      </c>
      <c r="F34" s="14">
        <f t="shared" si="0"/>
        <v>0</v>
      </c>
      <c r="G34" s="15" t="str">
        <f t="shared" si="1"/>
        <v>-</v>
      </c>
    </row>
    <row r="35" spans="1:7" x14ac:dyDescent="0.2">
      <c r="A35" s="16">
        <v>16</v>
      </c>
      <c r="B35" s="17" t="str">
        <f>all!R2</f>
        <v>Saturday, September 5, 2026</v>
      </c>
      <c r="C35" s="16" t="str">
        <f>all!Q1</f>
        <v>Week 8</v>
      </c>
      <c r="D35" s="16">
        <f>SUMPRODUCT((all!R$3:R$25&gt;=1)*(all!R$3:R$25&lt;=4)*1)</f>
        <v>0</v>
      </c>
      <c r="E35" s="16">
        <f>SUMPRODUCT(--(all!R$3:R$25=0))</f>
        <v>0</v>
      </c>
      <c r="F35" s="16">
        <f t="shared" si="0"/>
        <v>0</v>
      </c>
      <c r="G35" s="18" t="str">
        <f t="shared" si="1"/>
        <v>-</v>
      </c>
    </row>
    <row r="36" spans="1:7" x14ac:dyDescent="0.2">
      <c r="A36" s="14">
        <v>17</v>
      </c>
      <c r="B36" s="12" t="str">
        <f>all!S2</f>
        <v>Wednesday, September 9, 2026</v>
      </c>
      <c r="C36" s="14" t="str">
        <f>all!S1</f>
        <v>Week 9</v>
      </c>
      <c r="D36" s="14">
        <f>SUMPRODUCT((all!S$3:S$25&gt;=1)*(all!S$3:S$25&lt;=4)*1)</f>
        <v>0</v>
      </c>
      <c r="E36" s="14">
        <f>SUMPRODUCT(--(all!S$3:S$25=0))</f>
        <v>0</v>
      </c>
      <c r="F36" s="14">
        <f t="shared" si="0"/>
        <v>0</v>
      </c>
      <c r="G36" s="15" t="str">
        <f t="shared" si="1"/>
        <v>-</v>
      </c>
    </row>
    <row r="37" spans="1:7" x14ac:dyDescent="0.2">
      <c r="A37" s="16">
        <v>18</v>
      </c>
      <c r="B37" s="17" t="str">
        <f>all!T2</f>
        <v>Saturday, September 12, 2026</v>
      </c>
      <c r="C37" s="16" t="str">
        <f>all!S1</f>
        <v>Week 9</v>
      </c>
      <c r="D37" s="16">
        <f>SUMPRODUCT((all!T$3:T$25&gt;=1)*(all!T$3:T$25&lt;=4)*1)</f>
        <v>0</v>
      </c>
      <c r="E37" s="16">
        <f>SUMPRODUCT(--(all!T$3:T$25=0))</f>
        <v>0</v>
      </c>
      <c r="F37" s="16">
        <f t="shared" si="0"/>
        <v>0</v>
      </c>
      <c r="G37" s="18" t="str">
        <f t="shared" si="1"/>
        <v>-</v>
      </c>
    </row>
    <row r="38" spans="1:7" x14ac:dyDescent="0.2">
      <c r="A38" s="14">
        <v>19</v>
      </c>
      <c r="B38" s="12" t="str">
        <f>all!U2</f>
        <v>Wednesday, September 16, 2026</v>
      </c>
      <c r="C38" s="14" t="str">
        <f>all!U1</f>
        <v>Week 10</v>
      </c>
      <c r="D38" s="14">
        <f>SUMPRODUCT((all!U$3:U$25&gt;=1)*(all!U$3:U$25&lt;=4)*1)</f>
        <v>0</v>
      </c>
      <c r="E38" s="14">
        <f>SUMPRODUCT(--(all!U$3:U$25=0))</f>
        <v>0</v>
      </c>
      <c r="F38" s="14">
        <f t="shared" si="0"/>
        <v>0</v>
      </c>
      <c r="G38" s="15" t="str">
        <f t="shared" si="1"/>
        <v>-</v>
      </c>
    </row>
    <row r="39" spans="1:7" x14ac:dyDescent="0.2">
      <c r="A39" s="16">
        <v>20</v>
      </c>
      <c r="B39" s="17" t="str">
        <f>all!V2</f>
        <v>Saturday, September 19, 2026</v>
      </c>
      <c r="C39" s="16" t="str">
        <f>all!U1</f>
        <v>Week 10</v>
      </c>
      <c r="D39" s="16">
        <f>SUMPRODUCT((all!V$3:V$25&gt;=1)*(all!V$3:V$25&lt;=4)*1)</f>
        <v>0</v>
      </c>
      <c r="E39" s="16">
        <f>SUMPRODUCT(--(all!V$3:V$25=0))</f>
        <v>0</v>
      </c>
      <c r="F39" s="16">
        <f t="shared" si="0"/>
        <v>0</v>
      </c>
      <c r="G39" s="18" t="str">
        <f t="shared" si="1"/>
        <v>-</v>
      </c>
    </row>
    <row r="40" spans="1:7" x14ac:dyDescent="0.2">
      <c r="A40" s="14">
        <v>21</v>
      </c>
      <c r="B40" s="12" t="str">
        <f>all!W2</f>
        <v>Wednesday, September 23, 2026</v>
      </c>
      <c r="C40" s="14" t="str">
        <f>all!W1</f>
        <v>Week 11</v>
      </c>
      <c r="D40" s="14">
        <f>SUMPRODUCT((all!W$3:W$25&gt;=1)*(all!W$3:W$25&lt;=4)*1)</f>
        <v>0</v>
      </c>
      <c r="E40" s="14">
        <f>SUMPRODUCT(--(all!W$3:W$25=0))</f>
        <v>0</v>
      </c>
      <c r="F40" s="14">
        <f t="shared" si="0"/>
        <v>0</v>
      </c>
      <c r="G40" s="15" t="str">
        <f t="shared" si="1"/>
        <v>-</v>
      </c>
    </row>
    <row r="41" spans="1:7" x14ac:dyDescent="0.2">
      <c r="A41" s="16">
        <v>22</v>
      </c>
      <c r="B41" s="17" t="str">
        <f>all!X2</f>
        <v>Saturday, September 26, 2026</v>
      </c>
      <c r="C41" s="16" t="str">
        <f>all!W1</f>
        <v>Week 11</v>
      </c>
      <c r="D41" s="16">
        <f>SUMPRODUCT((all!X$3:X$25&gt;=1)*(all!X$3:X$25&lt;=4)*1)</f>
        <v>0</v>
      </c>
      <c r="E41" s="16">
        <f>SUMPRODUCT(--(all!X$3:X$25=0))</f>
        <v>0</v>
      </c>
      <c r="F41" s="16">
        <f t="shared" si="0"/>
        <v>0</v>
      </c>
      <c r="G41" s="18" t="str">
        <f t="shared" si="1"/>
        <v>-</v>
      </c>
    </row>
    <row r="42" spans="1:7" x14ac:dyDescent="0.2">
      <c r="A42" s="14">
        <v>23</v>
      </c>
      <c r="B42" s="12" t="str">
        <f>all!Y2</f>
        <v>Wednesday, September 30, 2026</v>
      </c>
      <c r="C42" s="14" t="str">
        <f>all!Y1</f>
        <v>Week 12</v>
      </c>
      <c r="D42" s="14">
        <f>SUMPRODUCT((all!Y$3:Y$25&gt;=1)*(all!Y$3:Y$25&lt;=4)*1)</f>
        <v>0</v>
      </c>
      <c r="E42" s="14">
        <f>SUMPRODUCT(--(all!Y$3:Y$25=0))</f>
        <v>0</v>
      </c>
      <c r="F42" s="14">
        <f t="shared" si="0"/>
        <v>0</v>
      </c>
      <c r="G42" s="15" t="str">
        <f t="shared" si="1"/>
        <v>-</v>
      </c>
    </row>
    <row r="43" spans="1:7" x14ac:dyDescent="0.2">
      <c r="A43" s="16">
        <v>24</v>
      </c>
      <c r="B43" s="17" t="str">
        <f>all!Z2</f>
        <v>Saturday, October 3, 2026</v>
      </c>
      <c r="C43" s="16" t="str">
        <f>all!Y1</f>
        <v>Week 12</v>
      </c>
      <c r="D43" s="16">
        <f>SUMPRODUCT((all!Z$3:Z$25&gt;=1)*(all!Z$3:Z$25&lt;=4)*1)</f>
        <v>0</v>
      </c>
      <c r="E43" s="16">
        <f>SUMPRODUCT(--(all!Z$3:Z$25=0))</f>
        <v>0</v>
      </c>
      <c r="F43" s="16">
        <f t="shared" si="0"/>
        <v>0</v>
      </c>
      <c r="G43" s="18" t="str">
        <f t="shared" si="1"/>
        <v>-</v>
      </c>
    </row>
    <row r="44" spans="1:7" x14ac:dyDescent="0.2">
      <c r="A44" s="14">
        <v>25</v>
      </c>
      <c r="B44" s="12" t="str">
        <f>all!AA2</f>
        <v>Wednesday, October 7, 2026</v>
      </c>
      <c r="C44" s="14" t="str">
        <f>all!AA1</f>
        <v>Week 13</v>
      </c>
      <c r="D44" s="14">
        <f>SUMPRODUCT((all!AA$3:AA$25&gt;=1)*(all!AA$3:AA$25&lt;=4)*1)</f>
        <v>0</v>
      </c>
      <c r="E44" s="14">
        <f>SUMPRODUCT(--(all!AA$3:AA$25=0))</f>
        <v>0</v>
      </c>
      <c r="F44" s="14">
        <f t="shared" si="0"/>
        <v>0</v>
      </c>
      <c r="G44" s="15" t="str">
        <f t="shared" si="1"/>
        <v>-</v>
      </c>
    </row>
    <row r="45" spans="1:7" x14ac:dyDescent="0.2">
      <c r="A45" s="16">
        <v>26</v>
      </c>
      <c r="B45" s="17" t="str">
        <f>all!AB2</f>
        <v>Saturday, October 10, 2026</v>
      </c>
      <c r="C45" s="16" t="str">
        <f>all!AA1</f>
        <v>Week 13</v>
      </c>
      <c r="D45" s="16">
        <f>SUMPRODUCT((all!AB$3:AB$25&gt;=1)*(all!AB$3:AB$25&lt;=4)*1)</f>
        <v>0</v>
      </c>
      <c r="E45" s="16">
        <f>SUMPRODUCT(--(all!AB$3:AB$25=0))</f>
        <v>0</v>
      </c>
      <c r="F45" s="16">
        <f t="shared" si="0"/>
        <v>0</v>
      </c>
      <c r="G45" s="18" t="str">
        <f t="shared" si="1"/>
        <v>-</v>
      </c>
    </row>
    <row r="46" spans="1:7" x14ac:dyDescent="0.2">
      <c r="A46" s="14">
        <v>27</v>
      </c>
      <c r="B46" s="12" t="str">
        <f>all!AC2</f>
        <v>Wednesday, October 14, 2026</v>
      </c>
      <c r="C46" s="14" t="str">
        <f>all!AC1</f>
        <v>Week 14</v>
      </c>
      <c r="D46" s="14">
        <f>SUMPRODUCT((all!AC$3:AC$25&gt;=1)*(all!AC$3:AC$25&lt;=4)*1)</f>
        <v>0</v>
      </c>
      <c r="E46" s="14">
        <f>SUMPRODUCT(--(all!AC$3:AC$25=0))</f>
        <v>0</v>
      </c>
      <c r="F46" s="14">
        <f t="shared" si="0"/>
        <v>0</v>
      </c>
      <c r="G46" s="15" t="str">
        <f t="shared" si="1"/>
        <v>-</v>
      </c>
    </row>
    <row r="47" spans="1:7" x14ac:dyDescent="0.2">
      <c r="A47" s="16">
        <v>28</v>
      </c>
      <c r="B47" s="17" t="str">
        <f>all!AD2</f>
        <v>Saturday, October 17, 2026</v>
      </c>
      <c r="C47" s="16" t="str">
        <f>all!AC1</f>
        <v>Week 14</v>
      </c>
      <c r="D47" s="16">
        <f>SUMPRODUCT((all!AD$3:AD$25&gt;=1)*(all!AD$3:AD$25&lt;=4)*1)</f>
        <v>0</v>
      </c>
      <c r="E47" s="16">
        <f>SUMPRODUCT(--(all!AD$3:AD$25=0))</f>
        <v>0</v>
      </c>
      <c r="F47" s="16">
        <f t="shared" si="0"/>
        <v>0</v>
      </c>
      <c r="G47" s="18" t="str">
        <f t="shared" si="1"/>
        <v>-</v>
      </c>
    </row>
    <row r="49" spans="1:8" x14ac:dyDescent="0.2">
      <c r="A49" s="70" t="s">
        <v>88</v>
      </c>
      <c r="B49" s="66"/>
      <c r="C49" s="66"/>
      <c r="D49" s="66"/>
      <c r="E49" s="66"/>
      <c r="F49" s="66"/>
      <c r="G49" s="66"/>
      <c r="H49" s="66"/>
    </row>
    <row r="50" spans="1:8" x14ac:dyDescent="0.2">
      <c r="A50" s="13" t="s">
        <v>0</v>
      </c>
      <c r="B50" s="13" t="s">
        <v>89</v>
      </c>
      <c r="C50" s="13" t="s">
        <v>84</v>
      </c>
      <c r="D50" s="13" t="s">
        <v>85</v>
      </c>
      <c r="E50" s="13" t="s">
        <v>86</v>
      </c>
      <c r="F50" s="13" t="s">
        <v>90</v>
      </c>
      <c r="G50" s="13" t="s">
        <v>91</v>
      </c>
      <c r="H50" s="13" t="s">
        <v>92</v>
      </c>
    </row>
    <row r="51" spans="1:8" ht="25" customHeight="1" x14ac:dyDescent="0.2">
      <c r="A51" s="31">
        <f>all!A3</f>
        <v>1</v>
      </c>
      <c r="B51" s="32" t="str">
        <f>all!B3</f>
        <v>ALARCON, AHLDRIN ARELLANO</v>
      </c>
      <c r="C51" s="31">
        <f>SUMPRODUCT((all!C3:AD3&gt;=1)*(all!C3:AD3&lt;=4)*1)</f>
        <v>0</v>
      </c>
      <c r="D51" s="31">
        <f>SUMPRODUCT(--(all!C3:AD3=0))</f>
        <v>1</v>
      </c>
      <c r="E51" s="31">
        <f t="shared" ref="E51:E73" si="2">C51+D51</f>
        <v>1</v>
      </c>
      <c r="F51" s="33">
        <f t="shared" ref="F51:F73" si="3">IF(E51=0,"-",C51/E51)</f>
        <v>0</v>
      </c>
      <c r="G51" s="33">
        <f>IF(E51=0,"-",SUMPRODUCT((all!C3:AD3=1)*1+(all!C3:AD3=2)*0.75+(all!C3:AD3=3)*0.69+(all!C3:AD3=4)*0.63)/E51)</f>
        <v>0</v>
      </c>
      <c r="H51" s="12" t="str">
        <f t="shared" ref="H51:H73" si="4">IF(E51=0,"",IF(NOT(ISNUMBER(F51)),"",IF(AND(F51=MAX($F$51:$F$73),F51=MIN($F$51:$F$73)),"Tied",IF(F51=MAX($F$51:$F$73),"Most attended",IF(F51=MIN($F$51:$F$73),"Most absent","")))))</f>
        <v>Most absent</v>
      </c>
    </row>
    <row r="52" spans="1:8" ht="25" customHeight="1" x14ac:dyDescent="0.2">
      <c r="A52" s="34">
        <f>all!A4</f>
        <v>2</v>
      </c>
      <c r="B52" s="35" t="str">
        <f>all!B4</f>
        <v>AMILLER, RHEIGN MHAYUMI REGADO</v>
      </c>
      <c r="C52" s="34">
        <f>SUMPRODUCT((all!C4:AD4&gt;=1)*(all!C4:AD4&lt;=4)*1)</f>
        <v>0</v>
      </c>
      <c r="D52" s="34">
        <f>SUMPRODUCT(--(all!C4:AD4=0))</f>
        <v>1</v>
      </c>
      <c r="E52" s="34">
        <f t="shared" si="2"/>
        <v>1</v>
      </c>
      <c r="F52" s="36">
        <f t="shared" si="3"/>
        <v>0</v>
      </c>
      <c r="G52" s="36">
        <f>IF(E52=0,"-",SUMPRODUCT((all!C4:AD4=1)*1+(all!C4:AD4=2)*0.75+(all!C4:AD4=3)*0.69+(all!C4:AD4=4)*0.63)/E52)</f>
        <v>0</v>
      </c>
      <c r="H52" s="17" t="str">
        <f t="shared" si="4"/>
        <v>Most absent</v>
      </c>
    </row>
    <row r="53" spans="1:8" ht="25" customHeight="1" x14ac:dyDescent="0.2">
      <c r="A53" s="31">
        <f>all!A5</f>
        <v>3</v>
      </c>
      <c r="B53" s="32" t="str">
        <f>all!B5</f>
        <v>ANGELES, SHANNAN CATE SILVINO</v>
      </c>
      <c r="C53" s="31">
        <f>SUMPRODUCT((all!C5:AD5&gt;=1)*(all!C5:AD5&lt;=4)*1)</f>
        <v>1</v>
      </c>
      <c r="D53" s="31">
        <f>SUMPRODUCT(--(all!C5:AD5=0))</f>
        <v>0</v>
      </c>
      <c r="E53" s="31">
        <f t="shared" si="2"/>
        <v>1</v>
      </c>
      <c r="F53" s="33">
        <f t="shared" si="3"/>
        <v>1</v>
      </c>
      <c r="G53" s="33">
        <f>IF(E53=0,"-",SUMPRODUCT((all!C5:AD5=1)*1+(all!C5:AD5=2)*0.75+(all!C5:AD5=3)*0.69+(all!C5:AD5=4)*0.63)/E53)</f>
        <v>1</v>
      </c>
      <c r="H53" s="12" t="str">
        <f t="shared" si="4"/>
        <v>Most attended</v>
      </c>
    </row>
    <row r="54" spans="1:8" ht="25" customHeight="1" x14ac:dyDescent="0.2">
      <c r="A54" s="34">
        <f>all!A6</f>
        <v>4</v>
      </c>
      <c r="B54" s="35" t="str">
        <f>all!B6</f>
        <v>AVORQUE, JENNY BACLEA-AN</v>
      </c>
      <c r="C54" s="34">
        <f>SUMPRODUCT((all!C6:AD6&gt;=1)*(all!C6:AD6&lt;=4)*1)</f>
        <v>1</v>
      </c>
      <c r="D54" s="34">
        <f>SUMPRODUCT(--(all!C6:AD6=0))</f>
        <v>0</v>
      </c>
      <c r="E54" s="34">
        <f t="shared" si="2"/>
        <v>1</v>
      </c>
      <c r="F54" s="36">
        <f t="shared" si="3"/>
        <v>1</v>
      </c>
      <c r="G54" s="36">
        <f>IF(E54=0,"-",SUMPRODUCT((all!C6:AD6=1)*1+(all!C6:AD6=2)*0.75+(all!C6:AD6=3)*0.69+(all!C6:AD6=4)*0.63)/E54)</f>
        <v>1</v>
      </c>
      <c r="H54" s="17" t="str">
        <f t="shared" si="4"/>
        <v>Most attended</v>
      </c>
    </row>
    <row r="55" spans="1:8" ht="25" customHeight="1" x14ac:dyDescent="0.2">
      <c r="A55" s="31">
        <f>all!A7</f>
        <v>5</v>
      </c>
      <c r="B55" s="32" t="str">
        <f>all!B7</f>
        <v>BAUTISTA, ANGELA MAE EVASCO</v>
      </c>
      <c r="C55" s="31">
        <f>SUMPRODUCT((all!C7:AD7&gt;=1)*(all!C7:AD7&lt;=4)*1)</f>
        <v>1</v>
      </c>
      <c r="D55" s="31">
        <f>SUMPRODUCT(--(all!C7:AD7=0))</f>
        <v>0</v>
      </c>
      <c r="E55" s="31">
        <f t="shared" si="2"/>
        <v>1</v>
      </c>
      <c r="F55" s="33">
        <f t="shared" si="3"/>
        <v>1</v>
      </c>
      <c r="G55" s="33">
        <f>IF(E55=0,"-",SUMPRODUCT((all!C7:AD7=1)*1+(all!C7:AD7=2)*0.75+(all!C7:AD7=3)*0.69+(all!C7:AD7=4)*0.63)/E55)</f>
        <v>1</v>
      </c>
      <c r="H55" s="12" t="str">
        <f t="shared" si="4"/>
        <v>Most attended</v>
      </c>
    </row>
    <row r="56" spans="1:8" ht="25" customHeight="1" x14ac:dyDescent="0.2">
      <c r="A56" s="34">
        <f>all!A8</f>
        <v>6</v>
      </c>
      <c r="B56" s="35" t="str">
        <f>all!B8</f>
        <v>BITAGO, GERALD BANCA</v>
      </c>
      <c r="C56" s="34">
        <f>SUMPRODUCT((all!C8:AD8&gt;=1)*(all!C8:AD8&lt;=4)*1)</f>
        <v>1</v>
      </c>
      <c r="D56" s="34">
        <f>SUMPRODUCT(--(all!C8:AD8=0))</f>
        <v>0</v>
      </c>
      <c r="E56" s="34">
        <f t="shared" si="2"/>
        <v>1</v>
      </c>
      <c r="F56" s="36">
        <f t="shared" si="3"/>
        <v>1</v>
      </c>
      <c r="G56" s="36">
        <f>IF(E56=0,"-",SUMPRODUCT((all!C8:AD8=1)*1+(all!C8:AD8=2)*0.75+(all!C8:AD8=3)*0.69+(all!C8:AD8=4)*0.63)/E56)</f>
        <v>1</v>
      </c>
      <c r="H56" s="17" t="str">
        <f t="shared" si="4"/>
        <v>Most attended</v>
      </c>
    </row>
    <row r="57" spans="1:8" ht="25" customHeight="1" x14ac:dyDescent="0.2">
      <c r="A57" s="31">
        <f>all!A9</f>
        <v>7</v>
      </c>
      <c r="B57" s="32" t="str">
        <f>all!B9</f>
        <v>COSME, GILIANNE QUILATAN</v>
      </c>
      <c r="C57" s="31">
        <f>SUMPRODUCT((all!C9:AD9&gt;=1)*(all!C9:AD9&lt;=4)*1)</f>
        <v>0</v>
      </c>
      <c r="D57" s="31">
        <f>SUMPRODUCT(--(all!C9:AD9=0))</f>
        <v>1</v>
      </c>
      <c r="E57" s="31">
        <f t="shared" si="2"/>
        <v>1</v>
      </c>
      <c r="F57" s="33">
        <f t="shared" si="3"/>
        <v>0</v>
      </c>
      <c r="G57" s="33">
        <f>IF(E57=0,"-",SUMPRODUCT((all!C9:AD9=1)*1+(all!C9:AD9=2)*0.75+(all!C9:AD9=3)*0.69+(all!C9:AD9=4)*0.63)/E57)</f>
        <v>0</v>
      </c>
      <c r="H57" s="12" t="str">
        <f t="shared" si="4"/>
        <v>Most absent</v>
      </c>
    </row>
    <row r="58" spans="1:8" ht="25" customHeight="1" x14ac:dyDescent="0.2">
      <c r="A58" s="34">
        <f>all!A10</f>
        <v>8</v>
      </c>
      <c r="B58" s="35" t="str">
        <f>all!B10</f>
        <v>DALANDAS, ZACARIA JR. AMORAN</v>
      </c>
      <c r="C58" s="34">
        <f>SUMPRODUCT((all!C10:AD10&gt;=1)*(all!C10:AD10&lt;=4)*1)</f>
        <v>0</v>
      </c>
      <c r="D58" s="34">
        <f>SUMPRODUCT(--(all!C10:AD10=0))</f>
        <v>1</v>
      </c>
      <c r="E58" s="34">
        <f t="shared" si="2"/>
        <v>1</v>
      </c>
      <c r="F58" s="36">
        <f t="shared" si="3"/>
        <v>0</v>
      </c>
      <c r="G58" s="36">
        <f>IF(E58=0,"-",SUMPRODUCT((all!C10:AD10=1)*1+(all!C10:AD10=2)*0.75+(all!C10:AD10=3)*0.69+(all!C10:AD10=4)*0.63)/E58)</f>
        <v>0</v>
      </c>
      <c r="H58" s="17" t="str">
        <f t="shared" si="4"/>
        <v>Most absent</v>
      </c>
    </row>
    <row r="59" spans="1:8" ht="25" customHeight="1" x14ac:dyDescent="0.2">
      <c r="A59" s="31">
        <f>all!A11</f>
        <v>9</v>
      </c>
      <c r="B59" s="32" t="str">
        <f>all!B11</f>
        <v>DIVINA, RICH SEBASTIAN</v>
      </c>
      <c r="C59" s="31">
        <f>SUMPRODUCT((all!C11:AD11&gt;=1)*(all!C11:AD11&lt;=4)*1)</f>
        <v>1</v>
      </c>
      <c r="D59" s="31">
        <f>SUMPRODUCT(--(all!C11:AD11=0))</f>
        <v>0</v>
      </c>
      <c r="E59" s="31">
        <f t="shared" si="2"/>
        <v>1</v>
      </c>
      <c r="F59" s="33">
        <f t="shared" si="3"/>
        <v>1</v>
      </c>
      <c r="G59" s="33">
        <f>IF(E59=0,"-",SUMPRODUCT((all!C11:AD11=1)*1+(all!C11:AD11=2)*0.75+(all!C11:AD11=3)*0.69+(all!C11:AD11=4)*0.63)/E59)</f>
        <v>1</v>
      </c>
      <c r="H59" s="12" t="str">
        <f t="shared" si="4"/>
        <v>Most attended</v>
      </c>
    </row>
    <row r="60" spans="1:8" ht="25" customHeight="1" x14ac:dyDescent="0.2">
      <c r="A60" s="34">
        <f>all!A12</f>
        <v>10</v>
      </c>
      <c r="B60" s="35" t="str">
        <f>all!B12</f>
        <v>GACAD, MARC AARON MENDOZA</v>
      </c>
      <c r="C60" s="34">
        <f>SUMPRODUCT((all!C12:AD12&gt;=1)*(all!C12:AD12&lt;=4)*1)</f>
        <v>1</v>
      </c>
      <c r="D60" s="34">
        <f>SUMPRODUCT(--(all!C12:AD12=0))</f>
        <v>0</v>
      </c>
      <c r="E60" s="34">
        <f t="shared" si="2"/>
        <v>1</v>
      </c>
      <c r="F60" s="36">
        <f t="shared" si="3"/>
        <v>1</v>
      </c>
      <c r="G60" s="36">
        <f>IF(E60=0,"-",SUMPRODUCT((all!C12:AD12=1)*1+(all!C12:AD12=2)*0.75+(all!C12:AD12=3)*0.69+(all!C12:AD12=4)*0.63)/E60)</f>
        <v>1</v>
      </c>
      <c r="H60" s="17" t="str">
        <f t="shared" si="4"/>
        <v>Most attended</v>
      </c>
    </row>
    <row r="61" spans="1:8" ht="25" customHeight="1" x14ac:dyDescent="0.2">
      <c r="A61" s="31">
        <f>all!A13</f>
        <v>11</v>
      </c>
      <c r="B61" s="32" t="str">
        <f>all!B13</f>
        <v>MAGPUSAO, ZANDRA MINGO</v>
      </c>
      <c r="C61" s="31">
        <f>SUMPRODUCT((all!C13:AD13&gt;=1)*(all!C13:AD13&lt;=4)*1)</f>
        <v>1</v>
      </c>
      <c r="D61" s="31">
        <f>SUMPRODUCT(--(all!C13:AD13=0))</f>
        <v>0</v>
      </c>
      <c r="E61" s="31">
        <f t="shared" si="2"/>
        <v>1</v>
      </c>
      <c r="F61" s="33">
        <f t="shared" si="3"/>
        <v>1</v>
      </c>
      <c r="G61" s="33">
        <f>IF(E61=0,"-",SUMPRODUCT((all!C13:AD13=1)*1+(all!C13:AD13=2)*0.75+(all!C13:AD13=3)*0.69+(all!C13:AD13=4)*0.63)/E61)</f>
        <v>1</v>
      </c>
      <c r="H61" s="12" t="str">
        <f t="shared" si="4"/>
        <v>Most attended</v>
      </c>
    </row>
    <row r="62" spans="1:8" ht="25" customHeight="1" x14ac:dyDescent="0.2">
      <c r="A62" s="34">
        <f>all!A14</f>
        <v>12</v>
      </c>
      <c r="B62" s="35" t="str">
        <f>all!B14</f>
        <v>NANA, CARLO RAPHAEL TAGUBA</v>
      </c>
      <c r="C62" s="34">
        <f>SUMPRODUCT((all!C14:AD14&gt;=1)*(all!C14:AD14&lt;=4)*1)</f>
        <v>1</v>
      </c>
      <c r="D62" s="34">
        <f>SUMPRODUCT(--(all!C14:AD14=0))</f>
        <v>0</v>
      </c>
      <c r="E62" s="34">
        <f t="shared" si="2"/>
        <v>1</v>
      </c>
      <c r="F62" s="36">
        <f t="shared" si="3"/>
        <v>1</v>
      </c>
      <c r="G62" s="36">
        <f>IF(E62=0,"-",SUMPRODUCT((all!C14:AD14=1)*1+(all!C14:AD14=2)*0.75+(all!C14:AD14=3)*0.69+(all!C14:AD14=4)*0.63)/E62)</f>
        <v>1</v>
      </c>
      <c r="H62" s="17" t="str">
        <f t="shared" si="4"/>
        <v>Most attended</v>
      </c>
    </row>
    <row r="63" spans="1:8" ht="25" customHeight="1" x14ac:dyDescent="0.2">
      <c r="A63" s="31">
        <f>all!A15</f>
        <v>13</v>
      </c>
      <c r="B63" s="32" t="str">
        <f>all!B15</f>
        <v>OLA, MARK JORIZ CARDINOZA</v>
      </c>
      <c r="C63" s="31">
        <f>SUMPRODUCT((all!C15:AD15&gt;=1)*(all!C15:AD15&lt;=4)*1)</f>
        <v>1</v>
      </c>
      <c r="D63" s="31">
        <f>SUMPRODUCT(--(all!C15:AD15=0))</f>
        <v>0</v>
      </c>
      <c r="E63" s="31">
        <f t="shared" si="2"/>
        <v>1</v>
      </c>
      <c r="F63" s="33">
        <f t="shared" si="3"/>
        <v>1</v>
      </c>
      <c r="G63" s="33">
        <f>IF(E63=0,"-",SUMPRODUCT((all!C15:AD15=1)*1+(all!C15:AD15=2)*0.75+(all!C15:AD15=3)*0.69+(all!C15:AD15=4)*0.63)/E63)</f>
        <v>1</v>
      </c>
      <c r="H63" s="12" t="str">
        <f t="shared" si="4"/>
        <v>Most attended</v>
      </c>
    </row>
    <row r="64" spans="1:8" ht="25" customHeight="1" x14ac:dyDescent="0.2">
      <c r="A64" s="34">
        <f>all!A16</f>
        <v>14</v>
      </c>
      <c r="B64" s="35" t="str">
        <f>all!B16</f>
        <v>QUIJANO, REYNALD RODRIGUEZ</v>
      </c>
      <c r="C64" s="34">
        <f>SUMPRODUCT((all!C16:AD16&gt;=1)*(all!C16:AD16&lt;=4)*1)</f>
        <v>1</v>
      </c>
      <c r="D64" s="34">
        <f>SUMPRODUCT(--(all!C16:AD16=0))</f>
        <v>0</v>
      </c>
      <c r="E64" s="34">
        <f t="shared" si="2"/>
        <v>1</v>
      </c>
      <c r="F64" s="36">
        <f t="shared" si="3"/>
        <v>1</v>
      </c>
      <c r="G64" s="36">
        <f>IF(E64=0,"-",SUMPRODUCT((all!C16:AD16=1)*1+(all!C16:AD16=2)*0.75+(all!C16:AD16=3)*0.69+(all!C16:AD16=4)*0.63)/E64)</f>
        <v>1</v>
      </c>
      <c r="H64" s="17" t="str">
        <f t="shared" si="4"/>
        <v>Most attended</v>
      </c>
    </row>
    <row r="65" spans="1:8" ht="25" customHeight="1" x14ac:dyDescent="0.2">
      <c r="A65" s="31">
        <f>all!A17</f>
        <v>15</v>
      </c>
      <c r="B65" s="32" t="str">
        <f>all!B17</f>
        <v>RUBIA, MIKE ANGELO ALDOVINO</v>
      </c>
      <c r="C65" s="31">
        <f>SUMPRODUCT((all!C17:AD17&gt;=1)*(all!C17:AD17&lt;=4)*1)</f>
        <v>1</v>
      </c>
      <c r="D65" s="31">
        <f>SUMPRODUCT(--(all!C17:AD17=0))</f>
        <v>0</v>
      </c>
      <c r="E65" s="31">
        <f t="shared" si="2"/>
        <v>1</v>
      </c>
      <c r="F65" s="33">
        <f t="shared" si="3"/>
        <v>1</v>
      </c>
      <c r="G65" s="33">
        <f>IF(E65=0,"-",SUMPRODUCT((all!C17:AD17=1)*1+(all!C17:AD17=2)*0.75+(all!C17:AD17=3)*0.69+(all!C17:AD17=4)*0.63)/E65)</f>
        <v>1</v>
      </c>
      <c r="H65" s="12" t="str">
        <f t="shared" si="4"/>
        <v>Most attended</v>
      </c>
    </row>
    <row r="66" spans="1:8" ht="25" customHeight="1" x14ac:dyDescent="0.2">
      <c r="A66" s="34">
        <f>all!A18</f>
        <v>16</v>
      </c>
      <c r="B66" s="35" t="str">
        <f>all!B18</f>
        <v>SOTELO, MINDAPHIL FRANCISCA</v>
      </c>
      <c r="C66" s="34">
        <f>SUMPRODUCT((all!C18:AD18&gt;=1)*(all!C18:AD18&lt;=4)*1)</f>
        <v>0</v>
      </c>
      <c r="D66" s="34">
        <f>SUMPRODUCT(--(all!C18:AD18=0))</f>
        <v>1</v>
      </c>
      <c r="E66" s="34">
        <f t="shared" si="2"/>
        <v>1</v>
      </c>
      <c r="F66" s="36">
        <f t="shared" si="3"/>
        <v>0</v>
      </c>
      <c r="G66" s="36">
        <f>IF(E66=0,"-",SUMPRODUCT((all!C18:AD18=1)*1+(all!C18:AD18=2)*0.75+(all!C18:AD18=3)*0.69+(all!C18:AD18=4)*0.63)/E66)</f>
        <v>0</v>
      </c>
      <c r="H66" s="17" t="str">
        <f t="shared" si="4"/>
        <v>Most absent</v>
      </c>
    </row>
    <row r="67" spans="1:8" ht="25" customHeight="1" x14ac:dyDescent="0.2">
      <c r="A67" s="31">
        <f>all!A19</f>
        <v>17</v>
      </c>
      <c r="B67" s="32" t="str">
        <f>all!B19</f>
        <v>STA. ANA, JUSTINE FRANCIS BALAMBAN</v>
      </c>
      <c r="C67" s="31">
        <f>SUMPRODUCT((all!C19:AD19&gt;=1)*(all!C19:AD19&lt;=4)*1)</f>
        <v>0</v>
      </c>
      <c r="D67" s="31">
        <f>SUMPRODUCT(--(all!C19:AD19=0))</f>
        <v>1</v>
      </c>
      <c r="E67" s="31">
        <f t="shared" si="2"/>
        <v>1</v>
      </c>
      <c r="F67" s="33">
        <f t="shared" si="3"/>
        <v>0</v>
      </c>
      <c r="G67" s="33">
        <f>IF(E67=0,"-",SUMPRODUCT((all!C19:AD19=1)*1+(all!C19:AD19=2)*0.75+(all!C19:AD19=3)*0.69+(all!C19:AD19=4)*0.63)/E67)</f>
        <v>0</v>
      </c>
      <c r="H67" s="12" t="str">
        <f t="shared" si="4"/>
        <v>Most absent</v>
      </c>
    </row>
    <row r="68" spans="1:8" ht="25" customHeight="1" x14ac:dyDescent="0.2">
      <c r="A68" s="34">
        <f>all!A20</f>
        <v>18</v>
      </c>
      <c r="B68" s="35" t="str">
        <f>all!B20</f>
        <v>SURLA, CINDY ELLA SARAIL</v>
      </c>
      <c r="C68" s="34">
        <f>SUMPRODUCT((all!C20:AD20&gt;=1)*(all!C20:AD20&lt;=4)*1)</f>
        <v>1</v>
      </c>
      <c r="D68" s="34">
        <f>SUMPRODUCT(--(all!C20:AD20=0))</f>
        <v>0</v>
      </c>
      <c r="E68" s="34">
        <f t="shared" si="2"/>
        <v>1</v>
      </c>
      <c r="F68" s="36">
        <f t="shared" si="3"/>
        <v>1</v>
      </c>
      <c r="G68" s="36">
        <f>IF(E68=0,"-",SUMPRODUCT((all!C20:AD20=1)*1+(all!C20:AD20=2)*0.75+(all!C20:AD20=3)*0.69+(all!C20:AD20=4)*0.63)/E68)</f>
        <v>1</v>
      </c>
      <c r="H68" s="17" t="str">
        <f t="shared" si="4"/>
        <v>Most attended</v>
      </c>
    </row>
    <row r="69" spans="1:8" ht="25" customHeight="1" x14ac:dyDescent="0.2">
      <c r="A69" s="31">
        <f>all!A21</f>
        <v>19</v>
      </c>
      <c r="B69" s="32" t="str">
        <f>all!B21</f>
        <v>TEJADA, SYMON JOSHUA CARAIG</v>
      </c>
      <c r="C69" s="31">
        <f>SUMPRODUCT((all!C21:AD21&gt;=1)*(all!C21:AD21&lt;=4)*1)</f>
        <v>1</v>
      </c>
      <c r="D69" s="31">
        <f>SUMPRODUCT(--(all!C21:AD21=0))</f>
        <v>0</v>
      </c>
      <c r="E69" s="31">
        <f t="shared" si="2"/>
        <v>1</v>
      </c>
      <c r="F69" s="33">
        <f t="shared" si="3"/>
        <v>1</v>
      </c>
      <c r="G69" s="33">
        <f>IF(E69=0,"-",SUMPRODUCT((all!C21:AD21=1)*1+(all!C21:AD21=2)*0.75+(all!C21:AD21=3)*0.69+(all!C21:AD21=4)*0.63)/E69)</f>
        <v>1</v>
      </c>
      <c r="H69" s="12" t="str">
        <f t="shared" si="4"/>
        <v>Most attended</v>
      </c>
    </row>
    <row r="70" spans="1:8" ht="25" customHeight="1" x14ac:dyDescent="0.2">
      <c r="A70" s="34">
        <f>all!A22</f>
        <v>20</v>
      </c>
      <c r="B70" s="35" t="str">
        <f>all!B22</f>
        <v>TOLOSA, ALDEN JR. ZAMORA</v>
      </c>
      <c r="C70" s="34">
        <f>SUMPRODUCT((all!C22:AD22&gt;=1)*(all!C22:AD22&lt;=4)*1)</f>
        <v>1</v>
      </c>
      <c r="D70" s="34">
        <f>SUMPRODUCT(--(all!C22:AD22=0))</f>
        <v>0</v>
      </c>
      <c r="E70" s="34">
        <f t="shared" si="2"/>
        <v>1</v>
      </c>
      <c r="F70" s="36">
        <f t="shared" si="3"/>
        <v>1</v>
      </c>
      <c r="G70" s="36">
        <f>IF(E70=0,"-",SUMPRODUCT((all!C22:AD22=1)*1+(all!C22:AD22=2)*0.75+(all!C22:AD22=3)*0.69+(all!C22:AD22=4)*0.63)/E70)</f>
        <v>1</v>
      </c>
      <c r="H70" s="17" t="str">
        <f t="shared" si="4"/>
        <v>Most attended</v>
      </c>
    </row>
    <row r="71" spans="1:8" ht="25" customHeight="1" x14ac:dyDescent="0.2">
      <c r="A71" s="31">
        <f>all!A23</f>
        <v>21</v>
      </c>
      <c r="B71" s="32" t="str">
        <f>all!B23</f>
        <v>VENTUCILLO, RENZ JAY ELBANO</v>
      </c>
      <c r="C71" s="31">
        <f>SUMPRODUCT((all!C23:AD23&gt;=1)*(all!C23:AD23&lt;=4)*1)</f>
        <v>0</v>
      </c>
      <c r="D71" s="31">
        <f>SUMPRODUCT(--(all!C23:AD23=0))</f>
        <v>1</v>
      </c>
      <c r="E71" s="31">
        <f t="shared" si="2"/>
        <v>1</v>
      </c>
      <c r="F71" s="33">
        <f t="shared" si="3"/>
        <v>0</v>
      </c>
      <c r="G71" s="33">
        <f>IF(E71=0,"-",SUMPRODUCT((all!C23:AD23=1)*1+(all!C23:AD23=2)*0.75+(all!C23:AD23=3)*0.69+(all!C23:AD23=4)*0.63)/E71)</f>
        <v>0</v>
      </c>
      <c r="H71" s="12" t="str">
        <f t="shared" si="4"/>
        <v>Most absent</v>
      </c>
    </row>
    <row r="72" spans="1:8" ht="25" customHeight="1" x14ac:dyDescent="0.2">
      <c r="A72" s="34">
        <f>all!A24</f>
        <v>22</v>
      </c>
      <c r="B72" s="35" t="str">
        <f>all!B24</f>
        <v>VILLALUZ, ROAN JAMES AMARGO</v>
      </c>
      <c r="C72" s="34">
        <f>SUMPRODUCT((all!C24:AD24&gt;=1)*(all!C24:AD24&lt;=4)*1)</f>
        <v>1</v>
      </c>
      <c r="D72" s="34">
        <f>SUMPRODUCT(--(all!C24:AD24=0))</f>
        <v>0</v>
      </c>
      <c r="E72" s="34">
        <f t="shared" si="2"/>
        <v>1</v>
      </c>
      <c r="F72" s="36">
        <f t="shared" si="3"/>
        <v>1</v>
      </c>
      <c r="G72" s="36">
        <f>IF(E72=0,"-",SUMPRODUCT((all!C24:AD24=1)*1+(all!C24:AD24=2)*0.75+(all!C24:AD24=3)*0.69+(all!C24:AD24=4)*0.63)/E72)</f>
        <v>1</v>
      </c>
      <c r="H72" s="17" t="str">
        <f t="shared" si="4"/>
        <v>Most attended</v>
      </c>
    </row>
    <row r="73" spans="1:8" ht="25" customHeight="1" x14ac:dyDescent="0.2">
      <c r="A73" s="31">
        <f>all!A25</f>
        <v>23</v>
      </c>
      <c r="B73" s="32" t="str">
        <f>all!B25</f>
        <v>VILLANUEVA, ROJGE JERICHO</v>
      </c>
      <c r="C73" s="31">
        <f>SUMPRODUCT((all!C25:AD25&gt;=1)*(all!C25:AD25&lt;=4)*1)</f>
        <v>0</v>
      </c>
      <c r="D73" s="31">
        <f>SUMPRODUCT(--(all!C25:AD25=0))</f>
        <v>1</v>
      </c>
      <c r="E73" s="31">
        <f t="shared" si="2"/>
        <v>1</v>
      </c>
      <c r="F73" s="33">
        <f t="shared" si="3"/>
        <v>0</v>
      </c>
      <c r="G73" s="33">
        <f>IF(E73=0,"-",SUMPRODUCT((all!C25:AD25=1)*1+(all!C25:AD25=2)*0.75+(all!C25:AD25=3)*0.69+(all!C25:AD25=4)*0.63)/E73)</f>
        <v>0</v>
      </c>
      <c r="H73" s="12" t="str">
        <f t="shared" si="4"/>
        <v>Most absent</v>
      </c>
    </row>
  </sheetData>
  <mergeCells count="11">
    <mergeCell ref="A49:H49"/>
    <mergeCell ref="A1:H1"/>
    <mergeCell ref="A4:C4"/>
    <mergeCell ref="B8:F8"/>
    <mergeCell ref="B9:F9"/>
    <mergeCell ref="B7:F7"/>
    <mergeCell ref="B6:F6"/>
    <mergeCell ref="A18:G18"/>
    <mergeCell ref="B10:F10"/>
    <mergeCell ref="A2:H2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44"/>
  <sheetViews>
    <sheetView zoomScale="65" workbookViewId="0">
      <pane xSplit="2" ySplit="2" topLeftCell="C3" activePane="bottomRight" state="frozen"/>
      <selection pane="topRight"/>
      <selection pane="bottomLeft" activeCell="A3" sqref="A3"/>
      <selection pane="bottomRight" activeCell="AE1" sqref="AE1:AF2"/>
    </sheetView>
  </sheetViews>
  <sheetFormatPr baseColWidth="10" defaultRowHeight="16" x14ac:dyDescent="0.2"/>
  <cols>
    <col min="1" max="1" width="3.7109375" bestFit="1" customWidth="1"/>
    <col min="2" max="2" width="49" bestFit="1" customWidth="1"/>
    <col min="3" max="3" width="26.140625" bestFit="1" customWidth="1"/>
    <col min="4" max="4" width="27.85546875" bestFit="1" customWidth="1"/>
    <col min="5" max="5" width="26.140625" bestFit="1" customWidth="1"/>
    <col min="6" max="6" width="28.140625" bestFit="1" customWidth="1"/>
    <col min="7" max="7" width="28.42578125" bestFit="1" customWidth="1"/>
    <col min="8" max="8" width="30" bestFit="1" customWidth="1"/>
    <col min="9" max="9" width="29.85546875" bestFit="1" customWidth="1"/>
    <col min="10" max="10" width="31.28515625" bestFit="1" customWidth="1"/>
    <col min="11" max="11" width="29.85546875" bestFit="1" customWidth="1"/>
    <col min="12" max="12" width="31.28515625" bestFit="1" customWidth="1"/>
    <col min="13" max="13" width="29.85546875" bestFit="1" customWidth="1"/>
    <col min="14" max="14" width="31.28515625" bestFit="1" customWidth="1"/>
    <col min="15" max="15" width="32.42578125" bestFit="1" customWidth="1"/>
    <col min="16" max="16" width="34" bestFit="1" customWidth="1"/>
    <col min="17" max="17" width="32.42578125" bestFit="1" customWidth="1"/>
    <col min="18" max="18" width="35.28515625" bestFit="1" customWidth="1"/>
    <col min="19" max="19" width="33.85546875" bestFit="1" customWidth="1"/>
    <col min="20" max="20" width="34.85546875" bestFit="1" customWidth="1"/>
    <col min="21" max="21" width="33.85546875" bestFit="1" customWidth="1"/>
    <col min="22" max="22" width="35.28515625" bestFit="1" customWidth="1"/>
    <col min="23" max="23" width="33.85546875" bestFit="1" customWidth="1"/>
    <col min="24" max="24" width="30.140625" bestFit="1" customWidth="1"/>
    <col min="25" max="25" width="29.28515625" bestFit="1" customWidth="1"/>
    <col min="26" max="26" width="30.140625" bestFit="1" customWidth="1"/>
    <col min="27" max="27" width="30.7109375" bestFit="1" customWidth="1"/>
    <col min="28" max="28" width="32.28515625" bestFit="1" customWidth="1"/>
    <col min="29" max="29" width="30.7109375" bestFit="1" customWidth="1"/>
    <col min="30" max="30" width="32.28515625" bestFit="1" customWidth="1"/>
    <col min="31" max="36" width="12" customWidth="1"/>
  </cols>
  <sheetData>
    <row r="1" spans="1:36" ht="23" customHeight="1" x14ac:dyDescent="0.2">
      <c r="A1" s="61" t="s">
        <v>0</v>
      </c>
      <c r="B1" s="59" t="s">
        <v>1</v>
      </c>
      <c r="C1" s="53" t="s">
        <v>2</v>
      </c>
      <c r="D1" s="54"/>
      <c r="E1" s="53" t="s">
        <v>3</v>
      </c>
      <c r="F1" s="54"/>
      <c r="G1" s="53" t="s">
        <v>4</v>
      </c>
      <c r="H1" s="54"/>
      <c r="I1" s="53" t="s">
        <v>5</v>
      </c>
      <c r="J1" s="54"/>
      <c r="K1" s="53" t="s">
        <v>6</v>
      </c>
      <c r="L1" s="54"/>
      <c r="M1" s="53" t="s">
        <v>7</v>
      </c>
      <c r="N1" s="54"/>
      <c r="O1" s="53" t="s">
        <v>8</v>
      </c>
      <c r="P1" s="54"/>
      <c r="Q1" s="53" t="s">
        <v>47</v>
      </c>
      <c r="R1" s="54"/>
      <c r="S1" s="53" t="s">
        <v>48</v>
      </c>
      <c r="T1" s="54"/>
      <c r="U1" s="53" t="s">
        <v>49</v>
      </c>
      <c r="V1" s="54"/>
      <c r="W1" s="53" t="s">
        <v>50</v>
      </c>
      <c r="X1" s="54"/>
      <c r="Y1" s="53" t="s">
        <v>51</v>
      </c>
      <c r="Z1" s="54"/>
      <c r="AA1" s="53" t="s">
        <v>52</v>
      </c>
      <c r="AB1" s="54"/>
      <c r="AC1" s="53" t="s">
        <v>53</v>
      </c>
      <c r="AD1" s="54"/>
      <c r="AE1" s="55" t="s">
        <v>9</v>
      </c>
      <c r="AF1" s="56"/>
      <c r="AG1" s="55" t="s">
        <v>54</v>
      </c>
      <c r="AH1" s="56"/>
      <c r="AI1" s="55" t="s">
        <v>69</v>
      </c>
      <c r="AJ1" s="56"/>
    </row>
    <row r="2" spans="1:36" ht="33" customHeight="1" thickBot="1" x14ac:dyDescent="0.25">
      <c r="A2" s="62"/>
      <c r="B2" s="60"/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55</v>
      </c>
      <c r="R2" s="5" t="s">
        <v>56</v>
      </c>
      <c r="S2" s="5" t="s">
        <v>57</v>
      </c>
      <c r="T2" s="5" t="s">
        <v>58</v>
      </c>
      <c r="U2" s="5" t="s">
        <v>59</v>
      </c>
      <c r="V2" s="5" t="s">
        <v>60</v>
      </c>
      <c r="W2" s="5" t="s">
        <v>61</v>
      </c>
      <c r="X2" s="5" t="s">
        <v>62</v>
      </c>
      <c r="Y2" s="5" t="s">
        <v>63</v>
      </c>
      <c r="Z2" s="5" t="s">
        <v>64</v>
      </c>
      <c r="AA2" s="5" t="s">
        <v>65</v>
      </c>
      <c r="AB2" s="5" t="s">
        <v>66</v>
      </c>
      <c r="AC2" s="5" t="s">
        <v>67</v>
      </c>
      <c r="AD2" s="5" t="s">
        <v>68</v>
      </c>
      <c r="AE2" s="57"/>
      <c r="AF2" s="58"/>
      <c r="AG2" s="57"/>
      <c r="AH2" s="58"/>
      <c r="AI2" s="57"/>
      <c r="AJ2" s="58"/>
    </row>
    <row r="3" spans="1:36" s="2" customFormat="1" ht="25" customHeight="1" x14ac:dyDescent="0.2">
      <c r="A3" s="25">
        <f>midterms!A3</f>
        <v>1</v>
      </c>
      <c r="B3" s="26" t="str">
        <f>midterms!B3</f>
        <v>ALARCON, AHLDRIN ARELLANO</v>
      </c>
      <c r="C3" s="27" t="str">
        <f>IF(midterms!C3="","",midterms!C3)</f>
        <v/>
      </c>
      <c r="D3" s="27">
        <f>IF(midterms!D3="","",midterms!D3)</f>
        <v>0</v>
      </c>
      <c r="E3" s="27" t="str">
        <f>IF(midterms!E3="","",midterms!E3)</f>
        <v/>
      </c>
      <c r="F3" s="27" t="str">
        <f>IF(midterms!F3="","",midterms!F3)</f>
        <v/>
      </c>
      <c r="G3" s="27" t="str">
        <f>IF(midterms!G3="","",midterms!G3)</f>
        <v/>
      </c>
      <c r="H3" s="27" t="str">
        <f>IF(midterms!H3="","",midterms!H3)</f>
        <v/>
      </c>
      <c r="I3" s="27" t="str">
        <f>IF(midterms!I3="","",midterms!I3)</f>
        <v/>
      </c>
      <c r="J3" s="27" t="str">
        <f>IF(midterms!J3="","",midterms!J3)</f>
        <v/>
      </c>
      <c r="K3" s="27" t="str">
        <f>IF(midterms!K3="","",midterms!K3)</f>
        <v/>
      </c>
      <c r="L3" s="27" t="str">
        <f>IF(midterms!L3="","",midterms!L3)</f>
        <v/>
      </c>
      <c r="M3" s="27" t="str">
        <f>IF(midterms!M3="","",midterms!M3)</f>
        <v/>
      </c>
      <c r="N3" s="27" t="str">
        <f>IF(midterms!N3="","",midterms!N3)</f>
        <v/>
      </c>
      <c r="O3" s="27" t="str">
        <f>IF(midterms!O3="","",midterms!O3)</f>
        <v/>
      </c>
      <c r="P3" s="27" t="str">
        <f>IF(midterms!P3="","",midterms!P3)</f>
        <v/>
      </c>
      <c r="Q3" s="27" t="str">
        <f>IF(finals!C3="","",finals!C3)</f>
        <v/>
      </c>
      <c r="R3" s="27" t="str">
        <f>IF(finals!D3="","",finals!D3)</f>
        <v/>
      </c>
      <c r="S3" s="27" t="str">
        <f>IF(finals!E3="","",finals!E3)</f>
        <v/>
      </c>
      <c r="T3" s="27" t="str">
        <f>IF(finals!F3="","",finals!F3)</f>
        <v/>
      </c>
      <c r="U3" s="27" t="str">
        <f>IF(finals!G3="","",finals!G3)</f>
        <v/>
      </c>
      <c r="V3" s="27" t="str">
        <f>IF(finals!H3="","",finals!H3)</f>
        <v/>
      </c>
      <c r="W3" s="27" t="str">
        <f>IF(finals!I3="","",finals!I3)</f>
        <v/>
      </c>
      <c r="X3" s="27" t="str">
        <f>IF(finals!J3="","",finals!J3)</f>
        <v/>
      </c>
      <c r="Y3" s="27" t="str">
        <f>IF(finals!K3="","",finals!K3)</f>
        <v/>
      </c>
      <c r="Z3" s="27" t="str">
        <f>IF(finals!L3="","",finals!L3)</f>
        <v/>
      </c>
      <c r="AA3" s="27" t="str">
        <f>IF(finals!M3="","",finals!M3)</f>
        <v/>
      </c>
      <c r="AB3" s="27" t="str">
        <f>IF(finals!N3="","",finals!N3)</f>
        <v/>
      </c>
      <c r="AC3" s="27" t="str">
        <f>IF(finals!O3="","",finals!O3)</f>
        <v/>
      </c>
      <c r="AD3" s="27" t="str">
        <f>IF(finals!P3="","",finals!P3)</f>
        <v/>
      </c>
      <c r="AE3" s="40">
        <f>midterms!Q3</f>
        <v>0</v>
      </c>
      <c r="AF3" s="41"/>
      <c r="AG3" s="40">
        <f>finals!Q3</f>
        <v>0</v>
      </c>
      <c r="AH3" s="41"/>
      <c r="AI3" s="40">
        <f t="shared" ref="AI3:AI25" si="0">IF(OR(AE3="",AG3=""),IF(AND(AE3="",AG3=""),"",IF(AE3="",AG3,AE3)),AE3+AG3)</f>
        <v>0</v>
      </c>
      <c r="AJ3" s="41"/>
    </row>
    <row r="4" spans="1:36" s="2" customFormat="1" ht="25" customHeight="1" x14ac:dyDescent="0.2">
      <c r="A4" s="28">
        <f>midterms!A4</f>
        <v>2</v>
      </c>
      <c r="B4" s="29" t="str">
        <f>midterms!B4</f>
        <v>AMILLER, RHEIGN MHAYUMI REGADO</v>
      </c>
      <c r="C4" s="30" t="str">
        <f>IF(midterms!C4="","",midterms!C4)</f>
        <v/>
      </c>
      <c r="D4" s="30">
        <f>IF(midterms!D4="","",midterms!D4)</f>
        <v>0</v>
      </c>
      <c r="E4" s="30" t="str">
        <f>IF(midterms!E4="","",midterms!E4)</f>
        <v/>
      </c>
      <c r="F4" s="30" t="str">
        <f>IF(midterms!F4="","",midterms!F4)</f>
        <v/>
      </c>
      <c r="G4" s="30" t="str">
        <f>IF(midterms!G4="","",midterms!G4)</f>
        <v/>
      </c>
      <c r="H4" s="30" t="str">
        <f>IF(midterms!H4="","",midterms!H4)</f>
        <v/>
      </c>
      <c r="I4" s="30" t="str">
        <f>IF(midterms!I4="","",midterms!I4)</f>
        <v/>
      </c>
      <c r="J4" s="30" t="str">
        <f>IF(midterms!J4="","",midterms!J4)</f>
        <v/>
      </c>
      <c r="K4" s="30" t="str">
        <f>IF(midterms!K4="","",midterms!K4)</f>
        <v/>
      </c>
      <c r="L4" s="30" t="str">
        <f>IF(midterms!L4="","",midterms!L4)</f>
        <v/>
      </c>
      <c r="M4" s="30" t="str">
        <f>IF(midterms!M4="","",midterms!M4)</f>
        <v/>
      </c>
      <c r="N4" s="30" t="str">
        <f>IF(midterms!N4="","",midterms!N4)</f>
        <v/>
      </c>
      <c r="O4" s="30" t="str">
        <f>IF(midterms!O4="","",midterms!O4)</f>
        <v/>
      </c>
      <c r="P4" s="30" t="str">
        <f>IF(midterms!P4="","",midterms!P4)</f>
        <v/>
      </c>
      <c r="Q4" s="30" t="str">
        <f>IF(finals!C4="","",finals!C4)</f>
        <v/>
      </c>
      <c r="R4" s="30" t="str">
        <f>IF(finals!D4="","",finals!D4)</f>
        <v/>
      </c>
      <c r="S4" s="30" t="str">
        <f>IF(finals!E4="","",finals!E4)</f>
        <v/>
      </c>
      <c r="T4" s="30" t="str">
        <f>IF(finals!F4="","",finals!F4)</f>
        <v/>
      </c>
      <c r="U4" s="30" t="str">
        <f>IF(finals!G4="","",finals!G4)</f>
        <v/>
      </c>
      <c r="V4" s="30" t="str">
        <f>IF(finals!H4="","",finals!H4)</f>
        <v/>
      </c>
      <c r="W4" s="30" t="str">
        <f>IF(finals!I4="","",finals!I4)</f>
        <v/>
      </c>
      <c r="X4" s="30" t="str">
        <f>IF(finals!J4="","",finals!J4)</f>
        <v/>
      </c>
      <c r="Y4" s="30" t="str">
        <f>IF(finals!K4="","",finals!K4)</f>
        <v/>
      </c>
      <c r="Z4" s="30" t="str">
        <f>IF(finals!L4="","",finals!L4)</f>
        <v/>
      </c>
      <c r="AA4" s="30" t="str">
        <f>IF(finals!M4="","",finals!M4)</f>
        <v/>
      </c>
      <c r="AB4" s="30" t="str">
        <f>IF(finals!N4="","",finals!N4)</f>
        <v/>
      </c>
      <c r="AC4" s="30" t="str">
        <f>IF(finals!O4="","",finals!O4)</f>
        <v/>
      </c>
      <c r="AD4" s="30" t="str">
        <f>IF(finals!P4="","",finals!P4)</f>
        <v/>
      </c>
      <c r="AE4" s="52">
        <f>midterms!Q4</f>
        <v>0</v>
      </c>
      <c r="AF4" s="41"/>
      <c r="AG4" s="52">
        <f>finals!Q4</f>
        <v>0</v>
      </c>
      <c r="AH4" s="41"/>
      <c r="AI4" s="52">
        <f t="shared" si="0"/>
        <v>0</v>
      </c>
      <c r="AJ4" s="41"/>
    </row>
    <row r="5" spans="1:36" s="2" customFormat="1" ht="25" customHeight="1" x14ac:dyDescent="0.2">
      <c r="A5" s="25">
        <f>midterms!A5</f>
        <v>3</v>
      </c>
      <c r="B5" s="26" t="str">
        <f>midterms!B5</f>
        <v>ANGELES, SHANNAN CATE SILVINO</v>
      </c>
      <c r="C5" s="27" t="str">
        <f>IF(midterms!C5="","",midterms!C5)</f>
        <v/>
      </c>
      <c r="D5" s="27">
        <f>IF(midterms!D5="","",midterms!D5)</f>
        <v>1</v>
      </c>
      <c r="E5" s="27" t="str">
        <f>IF(midterms!E5="","",midterms!E5)</f>
        <v/>
      </c>
      <c r="F5" s="27" t="str">
        <f>IF(midterms!F5="","",midterms!F5)</f>
        <v/>
      </c>
      <c r="G5" s="27" t="str">
        <f>IF(midterms!G5="","",midterms!G5)</f>
        <v/>
      </c>
      <c r="H5" s="27" t="str">
        <f>IF(midterms!H5="","",midterms!H5)</f>
        <v/>
      </c>
      <c r="I5" s="27" t="str">
        <f>IF(midterms!I5="","",midterms!I5)</f>
        <v/>
      </c>
      <c r="J5" s="27" t="str">
        <f>IF(midterms!J5="","",midterms!J5)</f>
        <v/>
      </c>
      <c r="K5" s="27" t="str">
        <f>IF(midterms!K5="","",midterms!K5)</f>
        <v/>
      </c>
      <c r="L5" s="27" t="str">
        <f>IF(midterms!L5="","",midterms!L5)</f>
        <v/>
      </c>
      <c r="M5" s="27" t="str">
        <f>IF(midterms!M5="","",midterms!M5)</f>
        <v/>
      </c>
      <c r="N5" s="27" t="str">
        <f>IF(midterms!N5="","",midterms!N5)</f>
        <v/>
      </c>
      <c r="O5" s="27" t="str">
        <f>IF(midterms!O5="","",midterms!O5)</f>
        <v/>
      </c>
      <c r="P5" s="27" t="str">
        <f>IF(midterms!P5="","",midterms!P5)</f>
        <v/>
      </c>
      <c r="Q5" s="27" t="str">
        <f>IF(finals!C5="","",finals!C5)</f>
        <v/>
      </c>
      <c r="R5" s="27" t="str">
        <f>IF(finals!D5="","",finals!D5)</f>
        <v/>
      </c>
      <c r="S5" s="27" t="str">
        <f>IF(finals!E5="","",finals!E5)</f>
        <v/>
      </c>
      <c r="T5" s="27" t="str">
        <f>IF(finals!F5="","",finals!F5)</f>
        <v/>
      </c>
      <c r="U5" s="27" t="str">
        <f>IF(finals!G5="","",finals!G5)</f>
        <v/>
      </c>
      <c r="V5" s="27" t="str">
        <f>IF(finals!H5="","",finals!H5)</f>
        <v/>
      </c>
      <c r="W5" s="27" t="str">
        <f>IF(finals!I5="","",finals!I5)</f>
        <v/>
      </c>
      <c r="X5" s="27" t="str">
        <f>IF(finals!J5="","",finals!J5)</f>
        <v/>
      </c>
      <c r="Y5" s="27" t="str">
        <f>IF(finals!K5="","",finals!K5)</f>
        <v/>
      </c>
      <c r="Z5" s="27" t="str">
        <f>IF(finals!L5="","",finals!L5)</f>
        <v/>
      </c>
      <c r="AA5" s="27" t="str">
        <f>IF(finals!M5="","",finals!M5)</f>
        <v/>
      </c>
      <c r="AB5" s="27" t="str">
        <f>IF(finals!N5="","",finals!N5)</f>
        <v/>
      </c>
      <c r="AC5" s="27" t="str">
        <f>IF(finals!O5="","",finals!O5)</f>
        <v/>
      </c>
      <c r="AD5" s="27" t="str">
        <f>IF(finals!P5="","",finals!P5)</f>
        <v/>
      </c>
      <c r="AE5" s="40">
        <f>midterms!Q5</f>
        <v>1</v>
      </c>
      <c r="AF5" s="41"/>
      <c r="AG5" s="40">
        <f>finals!Q5</f>
        <v>0</v>
      </c>
      <c r="AH5" s="41"/>
      <c r="AI5" s="40">
        <f t="shared" si="0"/>
        <v>1</v>
      </c>
      <c r="AJ5" s="41"/>
    </row>
    <row r="6" spans="1:36" s="2" customFormat="1" ht="25" customHeight="1" x14ac:dyDescent="0.2">
      <c r="A6" s="28">
        <f>midterms!A6</f>
        <v>4</v>
      </c>
      <c r="B6" s="29" t="str">
        <f>midterms!B6</f>
        <v>AVORQUE, JENNY BACLEA-AN</v>
      </c>
      <c r="C6" s="30" t="str">
        <f>IF(midterms!C6="","",midterms!C6)</f>
        <v/>
      </c>
      <c r="D6" s="30">
        <f>IF(midterms!D6="","",midterms!D6)</f>
        <v>1</v>
      </c>
      <c r="E6" s="30" t="str">
        <f>IF(midterms!E6="","",midterms!E6)</f>
        <v/>
      </c>
      <c r="F6" s="30" t="str">
        <f>IF(midterms!F6="","",midterms!F6)</f>
        <v/>
      </c>
      <c r="G6" s="30" t="str">
        <f>IF(midterms!G6="","",midterms!G6)</f>
        <v/>
      </c>
      <c r="H6" s="30" t="str">
        <f>IF(midterms!H6="","",midterms!H6)</f>
        <v/>
      </c>
      <c r="I6" s="30" t="str">
        <f>IF(midterms!I6="","",midterms!I6)</f>
        <v/>
      </c>
      <c r="J6" s="30" t="str">
        <f>IF(midterms!J6="","",midterms!J6)</f>
        <v/>
      </c>
      <c r="K6" s="30" t="str">
        <f>IF(midterms!K6="","",midterms!K6)</f>
        <v/>
      </c>
      <c r="L6" s="30" t="str">
        <f>IF(midterms!L6="","",midterms!L6)</f>
        <v/>
      </c>
      <c r="M6" s="30" t="str">
        <f>IF(midterms!M6="","",midterms!M6)</f>
        <v/>
      </c>
      <c r="N6" s="30" t="str">
        <f>IF(midterms!N6="","",midterms!N6)</f>
        <v/>
      </c>
      <c r="O6" s="30" t="str">
        <f>IF(midterms!O6="","",midterms!O6)</f>
        <v/>
      </c>
      <c r="P6" s="30" t="str">
        <f>IF(midterms!P6="","",midterms!P6)</f>
        <v/>
      </c>
      <c r="Q6" s="30" t="str">
        <f>IF(finals!C6="","",finals!C6)</f>
        <v/>
      </c>
      <c r="R6" s="30" t="str">
        <f>IF(finals!D6="","",finals!D6)</f>
        <v/>
      </c>
      <c r="S6" s="30" t="str">
        <f>IF(finals!E6="","",finals!E6)</f>
        <v/>
      </c>
      <c r="T6" s="30" t="str">
        <f>IF(finals!F6="","",finals!F6)</f>
        <v/>
      </c>
      <c r="U6" s="30" t="str">
        <f>IF(finals!G6="","",finals!G6)</f>
        <v/>
      </c>
      <c r="V6" s="30" t="str">
        <f>IF(finals!H6="","",finals!H6)</f>
        <v/>
      </c>
      <c r="W6" s="30" t="str">
        <f>IF(finals!I6="","",finals!I6)</f>
        <v/>
      </c>
      <c r="X6" s="30" t="str">
        <f>IF(finals!J6="","",finals!J6)</f>
        <v/>
      </c>
      <c r="Y6" s="30" t="str">
        <f>IF(finals!K6="","",finals!K6)</f>
        <v/>
      </c>
      <c r="Z6" s="30" t="str">
        <f>IF(finals!L6="","",finals!L6)</f>
        <v/>
      </c>
      <c r="AA6" s="30" t="str">
        <f>IF(finals!M6="","",finals!M6)</f>
        <v/>
      </c>
      <c r="AB6" s="30" t="str">
        <f>IF(finals!N6="","",finals!N6)</f>
        <v/>
      </c>
      <c r="AC6" s="30" t="str">
        <f>IF(finals!O6="","",finals!O6)</f>
        <v/>
      </c>
      <c r="AD6" s="30" t="str">
        <f>IF(finals!P6="","",finals!P6)</f>
        <v/>
      </c>
      <c r="AE6" s="52">
        <f>midterms!Q6</f>
        <v>1</v>
      </c>
      <c r="AF6" s="41"/>
      <c r="AG6" s="52">
        <f>finals!Q6</f>
        <v>0</v>
      </c>
      <c r="AH6" s="41"/>
      <c r="AI6" s="52">
        <f t="shared" si="0"/>
        <v>1</v>
      </c>
      <c r="AJ6" s="41"/>
    </row>
    <row r="7" spans="1:36" s="2" customFormat="1" ht="25" customHeight="1" x14ac:dyDescent="0.2">
      <c r="A7" s="25">
        <f>midterms!A7</f>
        <v>5</v>
      </c>
      <c r="B7" s="26" t="str">
        <f>midterms!B7</f>
        <v>BAUTISTA, ANGELA MAE EVASCO</v>
      </c>
      <c r="C7" s="27" t="str">
        <f>IF(midterms!C7="","",midterms!C7)</f>
        <v/>
      </c>
      <c r="D7" s="27">
        <f>IF(midterms!D7="","",midterms!D7)</f>
        <v>1</v>
      </c>
      <c r="E7" s="27" t="str">
        <f>IF(midterms!E7="","",midterms!E7)</f>
        <v/>
      </c>
      <c r="F7" s="27" t="str">
        <f>IF(midterms!F7="","",midterms!F7)</f>
        <v/>
      </c>
      <c r="G7" s="27" t="str">
        <f>IF(midterms!G7="","",midterms!G7)</f>
        <v/>
      </c>
      <c r="H7" s="27" t="str">
        <f>IF(midterms!H7="","",midterms!H7)</f>
        <v/>
      </c>
      <c r="I7" s="27" t="str">
        <f>IF(midterms!I7="","",midterms!I7)</f>
        <v/>
      </c>
      <c r="J7" s="27" t="str">
        <f>IF(midterms!J7="","",midterms!J7)</f>
        <v/>
      </c>
      <c r="K7" s="27" t="str">
        <f>IF(midterms!K7="","",midterms!K7)</f>
        <v/>
      </c>
      <c r="L7" s="27" t="str">
        <f>IF(midterms!L7="","",midterms!L7)</f>
        <v/>
      </c>
      <c r="M7" s="27" t="str">
        <f>IF(midterms!M7="","",midterms!M7)</f>
        <v/>
      </c>
      <c r="N7" s="27" t="str">
        <f>IF(midterms!N7="","",midterms!N7)</f>
        <v/>
      </c>
      <c r="O7" s="27" t="str">
        <f>IF(midterms!O7="","",midterms!O7)</f>
        <v/>
      </c>
      <c r="P7" s="27" t="str">
        <f>IF(midterms!P7="","",midterms!P7)</f>
        <v/>
      </c>
      <c r="Q7" s="27" t="str">
        <f>IF(finals!C7="","",finals!C7)</f>
        <v/>
      </c>
      <c r="R7" s="27" t="str">
        <f>IF(finals!D7="","",finals!D7)</f>
        <v/>
      </c>
      <c r="S7" s="27" t="str">
        <f>IF(finals!E7="","",finals!E7)</f>
        <v/>
      </c>
      <c r="T7" s="27" t="str">
        <f>IF(finals!F7="","",finals!F7)</f>
        <v/>
      </c>
      <c r="U7" s="27" t="str">
        <f>IF(finals!G7="","",finals!G7)</f>
        <v/>
      </c>
      <c r="V7" s="27" t="str">
        <f>IF(finals!H7="","",finals!H7)</f>
        <v/>
      </c>
      <c r="W7" s="27" t="str">
        <f>IF(finals!I7="","",finals!I7)</f>
        <v/>
      </c>
      <c r="X7" s="27" t="str">
        <f>IF(finals!J7="","",finals!J7)</f>
        <v/>
      </c>
      <c r="Y7" s="27" t="str">
        <f>IF(finals!K7="","",finals!K7)</f>
        <v/>
      </c>
      <c r="Z7" s="27" t="str">
        <f>IF(finals!L7="","",finals!L7)</f>
        <v/>
      </c>
      <c r="AA7" s="27" t="str">
        <f>IF(finals!M7="","",finals!M7)</f>
        <v/>
      </c>
      <c r="AB7" s="27" t="str">
        <f>IF(finals!N7="","",finals!N7)</f>
        <v/>
      </c>
      <c r="AC7" s="27" t="str">
        <f>IF(finals!O7="","",finals!O7)</f>
        <v/>
      </c>
      <c r="AD7" s="27" t="str">
        <f>IF(finals!P7="","",finals!P7)</f>
        <v/>
      </c>
      <c r="AE7" s="40">
        <f>midterms!Q7</f>
        <v>1</v>
      </c>
      <c r="AF7" s="41"/>
      <c r="AG7" s="40">
        <f>finals!Q7</f>
        <v>0</v>
      </c>
      <c r="AH7" s="41"/>
      <c r="AI7" s="40">
        <f t="shared" si="0"/>
        <v>1</v>
      </c>
      <c r="AJ7" s="41"/>
    </row>
    <row r="8" spans="1:36" s="2" customFormat="1" ht="25" customHeight="1" x14ac:dyDescent="0.2">
      <c r="A8" s="28">
        <f>midterms!A8</f>
        <v>6</v>
      </c>
      <c r="B8" s="29" t="str">
        <f>midterms!B8</f>
        <v>BITAGO, GERALD BANCA</v>
      </c>
      <c r="C8" s="30" t="str">
        <f>IF(midterms!C8="","",midterms!C8)</f>
        <v/>
      </c>
      <c r="D8" s="30">
        <f>IF(midterms!D8="","",midterms!D8)</f>
        <v>1</v>
      </c>
      <c r="E8" s="30" t="str">
        <f>IF(midterms!E8="","",midterms!E8)</f>
        <v/>
      </c>
      <c r="F8" s="30" t="str">
        <f>IF(midterms!F8="","",midterms!F8)</f>
        <v/>
      </c>
      <c r="G8" s="30" t="str">
        <f>IF(midterms!G8="","",midterms!G8)</f>
        <v/>
      </c>
      <c r="H8" s="30" t="str">
        <f>IF(midterms!H8="","",midterms!H8)</f>
        <v/>
      </c>
      <c r="I8" s="30" t="str">
        <f>IF(midterms!I8="","",midterms!I8)</f>
        <v/>
      </c>
      <c r="J8" s="30" t="str">
        <f>IF(midterms!J8="","",midterms!J8)</f>
        <v/>
      </c>
      <c r="K8" s="30" t="str">
        <f>IF(midterms!K8="","",midterms!K8)</f>
        <v/>
      </c>
      <c r="L8" s="30" t="str">
        <f>IF(midterms!L8="","",midterms!L8)</f>
        <v/>
      </c>
      <c r="M8" s="30" t="str">
        <f>IF(midterms!M8="","",midterms!M8)</f>
        <v/>
      </c>
      <c r="N8" s="30" t="str">
        <f>IF(midterms!N8="","",midterms!N8)</f>
        <v/>
      </c>
      <c r="O8" s="30" t="str">
        <f>IF(midterms!O8="","",midterms!O8)</f>
        <v/>
      </c>
      <c r="P8" s="30" t="str">
        <f>IF(midterms!P8="","",midterms!P8)</f>
        <v/>
      </c>
      <c r="Q8" s="30" t="str">
        <f>IF(finals!C8="","",finals!C8)</f>
        <v/>
      </c>
      <c r="R8" s="30" t="str">
        <f>IF(finals!D8="","",finals!D8)</f>
        <v/>
      </c>
      <c r="S8" s="30" t="str">
        <f>IF(finals!E8="","",finals!E8)</f>
        <v/>
      </c>
      <c r="T8" s="30" t="str">
        <f>IF(finals!F8="","",finals!F8)</f>
        <v/>
      </c>
      <c r="U8" s="30" t="str">
        <f>IF(finals!G8="","",finals!G8)</f>
        <v/>
      </c>
      <c r="V8" s="30" t="str">
        <f>IF(finals!H8="","",finals!H8)</f>
        <v/>
      </c>
      <c r="W8" s="30" t="str">
        <f>IF(finals!I8="","",finals!I8)</f>
        <v/>
      </c>
      <c r="X8" s="30" t="str">
        <f>IF(finals!J8="","",finals!J8)</f>
        <v/>
      </c>
      <c r="Y8" s="30" t="str">
        <f>IF(finals!K8="","",finals!K8)</f>
        <v/>
      </c>
      <c r="Z8" s="30" t="str">
        <f>IF(finals!L8="","",finals!L8)</f>
        <v/>
      </c>
      <c r="AA8" s="30" t="str">
        <f>IF(finals!M8="","",finals!M8)</f>
        <v/>
      </c>
      <c r="AB8" s="30" t="str">
        <f>IF(finals!N8="","",finals!N8)</f>
        <v/>
      </c>
      <c r="AC8" s="30" t="str">
        <f>IF(finals!O8="","",finals!O8)</f>
        <v/>
      </c>
      <c r="AD8" s="30" t="str">
        <f>IF(finals!P8="","",finals!P8)</f>
        <v/>
      </c>
      <c r="AE8" s="52">
        <f>midterms!Q8</f>
        <v>1</v>
      </c>
      <c r="AF8" s="41"/>
      <c r="AG8" s="52">
        <f>finals!Q8</f>
        <v>0</v>
      </c>
      <c r="AH8" s="41"/>
      <c r="AI8" s="52">
        <f t="shared" si="0"/>
        <v>1</v>
      </c>
      <c r="AJ8" s="41"/>
    </row>
    <row r="9" spans="1:36" s="2" customFormat="1" ht="25" customHeight="1" x14ac:dyDescent="0.2">
      <c r="A9" s="25">
        <f>midterms!A9</f>
        <v>7</v>
      </c>
      <c r="B9" s="26" t="str">
        <f>midterms!B9</f>
        <v>COSME, GILIANNE QUILATAN</v>
      </c>
      <c r="C9" s="27" t="str">
        <f>IF(midterms!C9="","",midterms!C9)</f>
        <v/>
      </c>
      <c r="D9" s="27">
        <f>IF(midterms!D9="","",midterms!D9)</f>
        <v>0</v>
      </c>
      <c r="E9" s="27" t="str">
        <f>IF(midterms!E9="","",midterms!E9)</f>
        <v/>
      </c>
      <c r="F9" s="27" t="str">
        <f>IF(midterms!F9="","",midterms!F9)</f>
        <v/>
      </c>
      <c r="G9" s="27" t="str">
        <f>IF(midterms!G9="","",midterms!G9)</f>
        <v/>
      </c>
      <c r="H9" s="27" t="str">
        <f>IF(midterms!H9="","",midterms!H9)</f>
        <v/>
      </c>
      <c r="I9" s="27" t="str">
        <f>IF(midterms!I9="","",midterms!I9)</f>
        <v/>
      </c>
      <c r="J9" s="27" t="str">
        <f>IF(midterms!J9="","",midterms!J9)</f>
        <v/>
      </c>
      <c r="K9" s="27" t="str">
        <f>IF(midterms!K9="","",midterms!K9)</f>
        <v/>
      </c>
      <c r="L9" s="27" t="str">
        <f>IF(midterms!L9="","",midterms!L9)</f>
        <v/>
      </c>
      <c r="M9" s="27" t="str">
        <f>IF(midterms!M9="","",midterms!M9)</f>
        <v/>
      </c>
      <c r="N9" s="27" t="str">
        <f>IF(midterms!N9="","",midterms!N9)</f>
        <v/>
      </c>
      <c r="O9" s="27" t="str">
        <f>IF(midterms!O9="","",midterms!O9)</f>
        <v/>
      </c>
      <c r="P9" s="27" t="str">
        <f>IF(midterms!P9="","",midterms!P9)</f>
        <v/>
      </c>
      <c r="Q9" s="27" t="str">
        <f>IF(finals!C9="","",finals!C9)</f>
        <v/>
      </c>
      <c r="R9" s="27" t="str">
        <f>IF(finals!D9="","",finals!D9)</f>
        <v/>
      </c>
      <c r="S9" s="27" t="str">
        <f>IF(finals!E9="","",finals!E9)</f>
        <v/>
      </c>
      <c r="T9" s="27" t="str">
        <f>IF(finals!F9="","",finals!F9)</f>
        <v/>
      </c>
      <c r="U9" s="27" t="str">
        <f>IF(finals!G9="","",finals!G9)</f>
        <v/>
      </c>
      <c r="V9" s="27" t="str">
        <f>IF(finals!H9="","",finals!H9)</f>
        <v/>
      </c>
      <c r="W9" s="27" t="str">
        <f>IF(finals!I9="","",finals!I9)</f>
        <v/>
      </c>
      <c r="X9" s="27" t="str">
        <f>IF(finals!J9="","",finals!J9)</f>
        <v/>
      </c>
      <c r="Y9" s="27" t="str">
        <f>IF(finals!K9="","",finals!K9)</f>
        <v/>
      </c>
      <c r="Z9" s="27" t="str">
        <f>IF(finals!L9="","",finals!L9)</f>
        <v/>
      </c>
      <c r="AA9" s="27" t="str">
        <f>IF(finals!M9="","",finals!M9)</f>
        <v/>
      </c>
      <c r="AB9" s="27" t="str">
        <f>IF(finals!N9="","",finals!N9)</f>
        <v/>
      </c>
      <c r="AC9" s="27" t="str">
        <f>IF(finals!O9="","",finals!O9)</f>
        <v/>
      </c>
      <c r="AD9" s="27" t="str">
        <f>IF(finals!P9="","",finals!P9)</f>
        <v/>
      </c>
      <c r="AE9" s="40">
        <f>midterms!Q9</f>
        <v>0</v>
      </c>
      <c r="AF9" s="41"/>
      <c r="AG9" s="40">
        <f>finals!Q9</f>
        <v>0</v>
      </c>
      <c r="AH9" s="41"/>
      <c r="AI9" s="40">
        <f t="shared" si="0"/>
        <v>0</v>
      </c>
      <c r="AJ9" s="41"/>
    </row>
    <row r="10" spans="1:36" s="2" customFormat="1" ht="25" customHeight="1" x14ac:dyDescent="0.2">
      <c r="A10" s="28">
        <f>midterms!A10</f>
        <v>8</v>
      </c>
      <c r="B10" s="29" t="str">
        <f>midterms!B10</f>
        <v>DALANDAS, ZACARIA JR. AMORAN</v>
      </c>
      <c r="C10" s="30" t="str">
        <f>IF(midterms!C10="","",midterms!C10)</f>
        <v/>
      </c>
      <c r="D10" s="30">
        <f>IF(midterms!D10="","",midterms!D10)</f>
        <v>0</v>
      </c>
      <c r="E10" s="30" t="str">
        <f>IF(midterms!E10="","",midterms!E10)</f>
        <v/>
      </c>
      <c r="F10" s="30" t="str">
        <f>IF(midterms!F10="","",midterms!F10)</f>
        <v/>
      </c>
      <c r="G10" s="30" t="str">
        <f>IF(midterms!G10="","",midterms!G10)</f>
        <v/>
      </c>
      <c r="H10" s="30" t="str">
        <f>IF(midterms!H10="","",midterms!H10)</f>
        <v/>
      </c>
      <c r="I10" s="30" t="str">
        <f>IF(midterms!I10="","",midterms!I10)</f>
        <v/>
      </c>
      <c r="J10" s="30" t="str">
        <f>IF(midterms!J10="","",midterms!J10)</f>
        <v/>
      </c>
      <c r="K10" s="30" t="str">
        <f>IF(midterms!K10="","",midterms!K10)</f>
        <v/>
      </c>
      <c r="L10" s="30" t="str">
        <f>IF(midterms!L10="","",midterms!L10)</f>
        <v/>
      </c>
      <c r="M10" s="30" t="str">
        <f>IF(midterms!M10="","",midterms!M10)</f>
        <v/>
      </c>
      <c r="N10" s="30" t="str">
        <f>IF(midterms!N10="","",midterms!N10)</f>
        <v/>
      </c>
      <c r="O10" s="30" t="str">
        <f>IF(midterms!O10="","",midterms!O10)</f>
        <v/>
      </c>
      <c r="P10" s="30" t="str">
        <f>IF(midterms!P10="","",midterms!P10)</f>
        <v/>
      </c>
      <c r="Q10" s="30" t="str">
        <f>IF(finals!C10="","",finals!C10)</f>
        <v/>
      </c>
      <c r="R10" s="30" t="str">
        <f>IF(finals!D10="","",finals!D10)</f>
        <v/>
      </c>
      <c r="S10" s="30" t="str">
        <f>IF(finals!E10="","",finals!E10)</f>
        <v/>
      </c>
      <c r="T10" s="30" t="str">
        <f>IF(finals!F10="","",finals!F10)</f>
        <v/>
      </c>
      <c r="U10" s="30" t="str">
        <f>IF(finals!G10="","",finals!G10)</f>
        <v/>
      </c>
      <c r="V10" s="30" t="str">
        <f>IF(finals!H10="","",finals!H10)</f>
        <v/>
      </c>
      <c r="W10" s="30" t="str">
        <f>IF(finals!I10="","",finals!I10)</f>
        <v/>
      </c>
      <c r="X10" s="30" t="str">
        <f>IF(finals!J10="","",finals!J10)</f>
        <v/>
      </c>
      <c r="Y10" s="30" t="str">
        <f>IF(finals!K10="","",finals!K10)</f>
        <v/>
      </c>
      <c r="Z10" s="30" t="str">
        <f>IF(finals!L10="","",finals!L10)</f>
        <v/>
      </c>
      <c r="AA10" s="30" t="str">
        <f>IF(finals!M10="","",finals!M10)</f>
        <v/>
      </c>
      <c r="AB10" s="30" t="str">
        <f>IF(finals!N10="","",finals!N10)</f>
        <v/>
      </c>
      <c r="AC10" s="30" t="str">
        <f>IF(finals!O10="","",finals!O10)</f>
        <v/>
      </c>
      <c r="AD10" s="30" t="str">
        <f>IF(finals!P10="","",finals!P10)</f>
        <v/>
      </c>
      <c r="AE10" s="52">
        <f>midterms!Q10</f>
        <v>0</v>
      </c>
      <c r="AF10" s="41"/>
      <c r="AG10" s="52">
        <f>finals!Q10</f>
        <v>0</v>
      </c>
      <c r="AH10" s="41"/>
      <c r="AI10" s="52">
        <f t="shared" si="0"/>
        <v>0</v>
      </c>
      <c r="AJ10" s="41"/>
    </row>
    <row r="11" spans="1:36" s="2" customFormat="1" ht="25" customHeight="1" x14ac:dyDescent="0.2">
      <c r="A11" s="25">
        <f>midterms!A11</f>
        <v>9</v>
      </c>
      <c r="B11" s="26" t="str">
        <f>midterms!B11</f>
        <v>DIVINA, RICH SEBASTIAN</v>
      </c>
      <c r="C11" s="27" t="str">
        <f>IF(midterms!C11="","",midterms!C11)</f>
        <v/>
      </c>
      <c r="D11" s="27">
        <f>IF(midterms!D11="","",midterms!D11)</f>
        <v>1</v>
      </c>
      <c r="E11" s="27" t="str">
        <f>IF(midterms!E11="","",midterms!E11)</f>
        <v/>
      </c>
      <c r="F11" s="27" t="str">
        <f>IF(midterms!F11="","",midterms!F11)</f>
        <v/>
      </c>
      <c r="G11" s="27" t="str">
        <f>IF(midterms!G11="","",midterms!G11)</f>
        <v/>
      </c>
      <c r="H11" s="27" t="str">
        <f>IF(midterms!H11="","",midterms!H11)</f>
        <v/>
      </c>
      <c r="I11" s="27" t="str">
        <f>IF(midterms!I11="","",midterms!I11)</f>
        <v/>
      </c>
      <c r="J11" s="27" t="str">
        <f>IF(midterms!J11="","",midterms!J11)</f>
        <v/>
      </c>
      <c r="K11" s="27" t="str">
        <f>IF(midterms!K11="","",midterms!K11)</f>
        <v/>
      </c>
      <c r="L11" s="27" t="str">
        <f>IF(midterms!L11="","",midterms!L11)</f>
        <v/>
      </c>
      <c r="M11" s="27" t="str">
        <f>IF(midterms!M11="","",midterms!M11)</f>
        <v/>
      </c>
      <c r="N11" s="27" t="str">
        <f>IF(midterms!N11="","",midterms!N11)</f>
        <v/>
      </c>
      <c r="O11" s="27" t="str">
        <f>IF(midterms!O11="","",midterms!O11)</f>
        <v/>
      </c>
      <c r="P11" s="27" t="str">
        <f>IF(midterms!P11="","",midterms!P11)</f>
        <v/>
      </c>
      <c r="Q11" s="27" t="str">
        <f>IF(finals!C11="","",finals!C11)</f>
        <v/>
      </c>
      <c r="R11" s="27" t="str">
        <f>IF(finals!D11="","",finals!D11)</f>
        <v/>
      </c>
      <c r="S11" s="27" t="str">
        <f>IF(finals!E11="","",finals!E11)</f>
        <v/>
      </c>
      <c r="T11" s="27" t="str">
        <f>IF(finals!F11="","",finals!F11)</f>
        <v/>
      </c>
      <c r="U11" s="27" t="str">
        <f>IF(finals!G11="","",finals!G11)</f>
        <v/>
      </c>
      <c r="V11" s="27" t="str">
        <f>IF(finals!H11="","",finals!H11)</f>
        <v/>
      </c>
      <c r="W11" s="27" t="str">
        <f>IF(finals!I11="","",finals!I11)</f>
        <v/>
      </c>
      <c r="X11" s="27" t="str">
        <f>IF(finals!J11="","",finals!J11)</f>
        <v/>
      </c>
      <c r="Y11" s="27" t="str">
        <f>IF(finals!K11="","",finals!K11)</f>
        <v/>
      </c>
      <c r="Z11" s="27" t="str">
        <f>IF(finals!L11="","",finals!L11)</f>
        <v/>
      </c>
      <c r="AA11" s="27" t="str">
        <f>IF(finals!M11="","",finals!M11)</f>
        <v/>
      </c>
      <c r="AB11" s="27" t="str">
        <f>IF(finals!N11="","",finals!N11)</f>
        <v/>
      </c>
      <c r="AC11" s="27" t="str">
        <f>IF(finals!O11="","",finals!O11)</f>
        <v/>
      </c>
      <c r="AD11" s="27" t="str">
        <f>IF(finals!P11="","",finals!P11)</f>
        <v/>
      </c>
      <c r="AE11" s="40">
        <f>midterms!Q11</f>
        <v>1</v>
      </c>
      <c r="AF11" s="41"/>
      <c r="AG11" s="40">
        <f>finals!Q11</f>
        <v>0</v>
      </c>
      <c r="AH11" s="41"/>
      <c r="AI11" s="40">
        <f t="shared" si="0"/>
        <v>1</v>
      </c>
      <c r="AJ11" s="41"/>
    </row>
    <row r="12" spans="1:36" s="2" customFormat="1" ht="25" customHeight="1" x14ac:dyDescent="0.2">
      <c r="A12" s="28">
        <f>midterms!A12</f>
        <v>10</v>
      </c>
      <c r="B12" s="29" t="str">
        <f>midterms!B12</f>
        <v>GACAD, MARC AARON MENDOZA</v>
      </c>
      <c r="C12" s="30" t="str">
        <f>IF(midterms!C12="","",midterms!C12)</f>
        <v/>
      </c>
      <c r="D12" s="30">
        <f>IF(midterms!D12="","",midterms!D12)</f>
        <v>1</v>
      </c>
      <c r="E12" s="30" t="str">
        <f>IF(midterms!E12="","",midterms!E12)</f>
        <v/>
      </c>
      <c r="F12" s="30" t="str">
        <f>IF(midterms!F12="","",midterms!F12)</f>
        <v/>
      </c>
      <c r="G12" s="30" t="str">
        <f>IF(midterms!G12="","",midterms!G12)</f>
        <v/>
      </c>
      <c r="H12" s="30" t="str">
        <f>IF(midterms!H12="","",midterms!H12)</f>
        <v/>
      </c>
      <c r="I12" s="30" t="str">
        <f>IF(midterms!I12="","",midterms!I12)</f>
        <v/>
      </c>
      <c r="J12" s="30" t="str">
        <f>IF(midterms!J12="","",midterms!J12)</f>
        <v/>
      </c>
      <c r="K12" s="30" t="str">
        <f>IF(midterms!K12="","",midterms!K12)</f>
        <v/>
      </c>
      <c r="L12" s="30" t="str">
        <f>IF(midterms!L12="","",midterms!L12)</f>
        <v/>
      </c>
      <c r="M12" s="30" t="str">
        <f>IF(midterms!M12="","",midterms!M12)</f>
        <v/>
      </c>
      <c r="N12" s="30" t="str">
        <f>IF(midterms!N12="","",midterms!N12)</f>
        <v/>
      </c>
      <c r="O12" s="30" t="str">
        <f>IF(midterms!O12="","",midterms!O12)</f>
        <v/>
      </c>
      <c r="P12" s="30" t="str">
        <f>IF(midterms!P12="","",midterms!P12)</f>
        <v/>
      </c>
      <c r="Q12" s="30" t="str">
        <f>IF(finals!C12="","",finals!C12)</f>
        <v/>
      </c>
      <c r="R12" s="30" t="str">
        <f>IF(finals!D12="","",finals!D12)</f>
        <v/>
      </c>
      <c r="S12" s="30" t="str">
        <f>IF(finals!E12="","",finals!E12)</f>
        <v/>
      </c>
      <c r="T12" s="30" t="str">
        <f>IF(finals!F12="","",finals!F12)</f>
        <v/>
      </c>
      <c r="U12" s="30" t="str">
        <f>IF(finals!G12="","",finals!G12)</f>
        <v/>
      </c>
      <c r="V12" s="30" t="str">
        <f>IF(finals!H12="","",finals!H12)</f>
        <v/>
      </c>
      <c r="W12" s="30" t="str">
        <f>IF(finals!I12="","",finals!I12)</f>
        <v/>
      </c>
      <c r="X12" s="30" t="str">
        <f>IF(finals!J12="","",finals!J12)</f>
        <v/>
      </c>
      <c r="Y12" s="30" t="str">
        <f>IF(finals!K12="","",finals!K12)</f>
        <v/>
      </c>
      <c r="Z12" s="30" t="str">
        <f>IF(finals!L12="","",finals!L12)</f>
        <v/>
      </c>
      <c r="AA12" s="30" t="str">
        <f>IF(finals!M12="","",finals!M12)</f>
        <v/>
      </c>
      <c r="AB12" s="30" t="str">
        <f>IF(finals!N12="","",finals!N12)</f>
        <v/>
      </c>
      <c r="AC12" s="30" t="str">
        <f>IF(finals!O12="","",finals!O12)</f>
        <v/>
      </c>
      <c r="AD12" s="30" t="str">
        <f>IF(finals!P12="","",finals!P12)</f>
        <v/>
      </c>
      <c r="AE12" s="52">
        <f>midterms!Q12</f>
        <v>1</v>
      </c>
      <c r="AF12" s="41"/>
      <c r="AG12" s="52">
        <f>finals!Q12</f>
        <v>0</v>
      </c>
      <c r="AH12" s="41"/>
      <c r="AI12" s="52">
        <f t="shared" si="0"/>
        <v>1</v>
      </c>
      <c r="AJ12" s="41"/>
    </row>
    <row r="13" spans="1:36" s="2" customFormat="1" ht="25" customHeight="1" x14ac:dyDescent="0.2">
      <c r="A13" s="25">
        <f>midterms!A13</f>
        <v>11</v>
      </c>
      <c r="B13" s="26" t="str">
        <f>midterms!B13</f>
        <v>MAGPUSAO, ZANDRA MINGO</v>
      </c>
      <c r="C13" s="27" t="str">
        <f>IF(midterms!C13="","",midterms!C13)</f>
        <v/>
      </c>
      <c r="D13" s="27">
        <f>IF(midterms!D13="","",midterms!D13)</f>
        <v>1</v>
      </c>
      <c r="E13" s="27" t="str">
        <f>IF(midterms!E13="","",midterms!E13)</f>
        <v/>
      </c>
      <c r="F13" s="27" t="str">
        <f>IF(midterms!F13="","",midterms!F13)</f>
        <v/>
      </c>
      <c r="G13" s="27" t="str">
        <f>IF(midterms!G13="","",midterms!G13)</f>
        <v/>
      </c>
      <c r="H13" s="27" t="str">
        <f>IF(midterms!H13="","",midterms!H13)</f>
        <v/>
      </c>
      <c r="I13" s="27" t="str">
        <f>IF(midterms!I13="","",midterms!I13)</f>
        <v/>
      </c>
      <c r="J13" s="27" t="str">
        <f>IF(midterms!J13="","",midterms!J13)</f>
        <v/>
      </c>
      <c r="K13" s="27" t="str">
        <f>IF(midterms!K13="","",midterms!K13)</f>
        <v/>
      </c>
      <c r="L13" s="27" t="str">
        <f>IF(midterms!L13="","",midterms!L13)</f>
        <v/>
      </c>
      <c r="M13" s="27" t="str">
        <f>IF(midterms!M13="","",midterms!M13)</f>
        <v/>
      </c>
      <c r="N13" s="27" t="str">
        <f>IF(midterms!N13="","",midterms!N13)</f>
        <v/>
      </c>
      <c r="O13" s="27" t="str">
        <f>IF(midterms!O13="","",midterms!O13)</f>
        <v/>
      </c>
      <c r="P13" s="27" t="str">
        <f>IF(midterms!P13="","",midterms!P13)</f>
        <v/>
      </c>
      <c r="Q13" s="27" t="str">
        <f>IF(finals!C13="","",finals!C13)</f>
        <v/>
      </c>
      <c r="R13" s="27" t="str">
        <f>IF(finals!D13="","",finals!D13)</f>
        <v/>
      </c>
      <c r="S13" s="27" t="str">
        <f>IF(finals!E13="","",finals!E13)</f>
        <v/>
      </c>
      <c r="T13" s="27" t="str">
        <f>IF(finals!F13="","",finals!F13)</f>
        <v/>
      </c>
      <c r="U13" s="27" t="str">
        <f>IF(finals!G13="","",finals!G13)</f>
        <v/>
      </c>
      <c r="V13" s="27" t="str">
        <f>IF(finals!H13="","",finals!H13)</f>
        <v/>
      </c>
      <c r="W13" s="27" t="str">
        <f>IF(finals!I13="","",finals!I13)</f>
        <v/>
      </c>
      <c r="X13" s="27" t="str">
        <f>IF(finals!J13="","",finals!J13)</f>
        <v/>
      </c>
      <c r="Y13" s="27" t="str">
        <f>IF(finals!K13="","",finals!K13)</f>
        <v/>
      </c>
      <c r="Z13" s="27" t="str">
        <f>IF(finals!L13="","",finals!L13)</f>
        <v/>
      </c>
      <c r="AA13" s="27" t="str">
        <f>IF(finals!M13="","",finals!M13)</f>
        <v/>
      </c>
      <c r="AB13" s="27" t="str">
        <f>IF(finals!N13="","",finals!N13)</f>
        <v/>
      </c>
      <c r="AC13" s="27" t="str">
        <f>IF(finals!O13="","",finals!O13)</f>
        <v/>
      </c>
      <c r="AD13" s="27" t="str">
        <f>IF(finals!P13="","",finals!P13)</f>
        <v/>
      </c>
      <c r="AE13" s="40">
        <f>midterms!Q13</f>
        <v>1</v>
      </c>
      <c r="AF13" s="41"/>
      <c r="AG13" s="40">
        <f>finals!Q13</f>
        <v>0</v>
      </c>
      <c r="AH13" s="41"/>
      <c r="AI13" s="40">
        <f t="shared" si="0"/>
        <v>1</v>
      </c>
      <c r="AJ13" s="41"/>
    </row>
    <row r="14" spans="1:36" s="2" customFormat="1" ht="25" customHeight="1" x14ac:dyDescent="0.2">
      <c r="A14" s="28">
        <f>midterms!A14</f>
        <v>12</v>
      </c>
      <c r="B14" s="29" t="str">
        <f>midterms!B14</f>
        <v>NANA, CARLO RAPHAEL TAGUBA</v>
      </c>
      <c r="C14" s="30" t="str">
        <f>IF(midterms!C14="","",midterms!C14)</f>
        <v/>
      </c>
      <c r="D14" s="30">
        <f>IF(midterms!D14="","",midterms!D14)</f>
        <v>1</v>
      </c>
      <c r="E14" s="30" t="str">
        <f>IF(midterms!E14="","",midterms!E14)</f>
        <v/>
      </c>
      <c r="F14" s="30" t="str">
        <f>IF(midterms!F14="","",midterms!F14)</f>
        <v/>
      </c>
      <c r="G14" s="30" t="str">
        <f>IF(midterms!G14="","",midterms!G14)</f>
        <v/>
      </c>
      <c r="H14" s="30" t="str">
        <f>IF(midterms!H14="","",midterms!H14)</f>
        <v/>
      </c>
      <c r="I14" s="30" t="str">
        <f>IF(midterms!I14="","",midterms!I14)</f>
        <v/>
      </c>
      <c r="J14" s="30" t="str">
        <f>IF(midterms!J14="","",midterms!J14)</f>
        <v/>
      </c>
      <c r="K14" s="30" t="str">
        <f>IF(midterms!K14="","",midterms!K14)</f>
        <v/>
      </c>
      <c r="L14" s="30" t="str">
        <f>IF(midterms!L14="","",midterms!L14)</f>
        <v/>
      </c>
      <c r="M14" s="30" t="str">
        <f>IF(midterms!M14="","",midterms!M14)</f>
        <v/>
      </c>
      <c r="N14" s="30" t="str">
        <f>IF(midterms!N14="","",midterms!N14)</f>
        <v/>
      </c>
      <c r="O14" s="30" t="str">
        <f>IF(midterms!O14="","",midterms!O14)</f>
        <v/>
      </c>
      <c r="P14" s="30" t="str">
        <f>IF(midterms!P14="","",midterms!P14)</f>
        <v/>
      </c>
      <c r="Q14" s="30" t="str">
        <f>IF(finals!C14="","",finals!C14)</f>
        <v/>
      </c>
      <c r="R14" s="30" t="str">
        <f>IF(finals!D14="","",finals!D14)</f>
        <v/>
      </c>
      <c r="S14" s="30" t="str">
        <f>IF(finals!E14="","",finals!E14)</f>
        <v/>
      </c>
      <c r="T14" s="30" t="str">
        <f>IF(finals!F14="","",finals!F14)</f>
        <v/>
      </c>
      <c r="U14" s="30" t="str">
        <f>IF(finals!G14="","",finals!G14)</f>
        <v/>
      </c>
      <c r="V14" s="30" t="str">
        <f>IF(finals!H14="","",finals!H14)</f>
        <v/>
      </c>
      <c r="W14" s="30" t="str">
        <f>IF(finals!I14="","",finals!I14)</f>
        <v/>
      </c>
      <c r="X14" s="30" t="str">
        <f>IF(finals!J14="","",finals!J14)</f>
        <v/>
      </c>
      <c r="Y14" s="30" t="str">
        <f>IF(finals!K14="","",finals!K14)</f>
        <v/>
      </c>
      <c r="Z14" s="30" t="str">
        <f>IF(finals!L14="","",finals!L14)</f>
        <v/>
      </c>
      <c r="AA14" s="30" t="str">
        <f>IF(finals!M14="","",finals!M14)</f>
        <v/>
      </c>
      <c r="AB14" s="30" t="str">
        <f>IF(finals!N14="","",finals!N14)</f>
        <v/>
      </c>
      <c r="AC14" s="30" t="str">
        <f>IF(finals!O14="","",finals!O14)</f>
        <v/>
      </c>
      <c r="AD14" s="30" t="str">
        <f>IF(finals!P14="","",finals!P14)</f>
        <v/>
      </c>
      <c r="AE14" s="52">
        <f>midterms!Q14</f>
        <v>1</v>
      </c>
      <c r="AF14" s="41"/>
      <c r="AG14" s="52">
        <f>finals!Q14</f>
        <v>0</v>
      </c>
      <c r="AH14" s="41"/>
      <c r="AI14" s="52">
        <f t="shared" si="0"/>
        <v>1</v>
      </c>
      <c r="AJ14" s="41"/>
    </row>
    <row r="15" spans="1:36" s="2" customFormat="1" ht="25" customHeight="1" x14ac:dyDescent="0.2">
      <c r="A15" s="25">
        <f>midterms!A15</f>
        <v>13</v>
      </c>
      <c r="B15" s="26" t="str">
        <f>midterms!B15</f>
        <v>OLA, MARK JORIZ CARDINOZA</v>
      </c>
      <c r="C15" s="27" t="str">
        <f>IF(midterms!C15="","",midterms!C15)</f>
        <v/>
      </c>
      <c r="D15" s="27">
        <f>IF(midterms!D15="","",midterms!D15)</f>
        <v>1</v>
      </c>
      <c r="E15" s="27" t="str">
        <f>IF(midterms!E15="","",midterms!E15)</f>
        <v/>
      </c>
      <c r="F15" s="27" t="str">
        <f>IF(midterms!F15="","",midterms!F15)</f>
        <v/>
      </c>
      <c r="G15" s="27" t="str">
        <f>IF(midterms!G15="","",midterms!G15)</f>
        <v/>
      </c>
      <c r="H15" s="27" t="str">
        <f>IF(midterms!H15="","",midterms!H15)</f>
        <v/>
      </c>
      <c r="I15" s="27" t="str">
        <f>IF(midterms!I15="","",midterms!I15)</f>
        <v/>
      </c>
      <c r="J15" s="27" t="str">
        <f>IF(midterms!J15="","",midterms!J15)</f>
        <v/>
      </c>
      <c r="K15" s="27" t="str">
        <f>IF(midterms!K15="","",midterms!K15)</f>
        <v/>
      </c>
      <c r="L15" s="27" t="str">
        <f>IF(midterms!L15="","",midterms!L15)</f>
        <v/>
      </c>
      <c r="M15" s="27" t="str">
        <f>IF(midterms!M15="","",midterms!M15)</f>
        <v/>
      </c>
      <c r="N15" s="27" t="str">
        <f>IF(midterms!N15="","",midterms!N15)</f>
        <v/>
      </c>
      <c r="O15" s="27" t="str">
        <f>IF(midterms!O15="","",midterms!O15)</f>
        <v/>
      </c>
      <c r="P15" s="27" t="str">
        <f>IF(midterms!P15="","",midterms!P15)</f>
        <v/>
      </c>
      <c r="Q15" s="27" t="str">
        <f>IF(finals!C15="","",finals!C15)</f>
        <v/>
      </c>
      <c r="R15" s="27" t="str">
        <f>IF(finals!D15="","",finals!D15)</f>
        <v/>
      </c>
      <c r="S15" s="27" t="str">
        <f>IF(finals!E15="","",finals!E15)</f>
        <v/>
      </c>
      <c r="T15" s="27" t="str">
        <f>IF(finals!F15="","",finals!F15)</f>
        <v/>
      </c>
      <c r="U15" s="27" t="str">
        <f>IF(finals!G15="","",finals!G15)</f>
        <v/>
      </c>
      <c r="V15" s="27" t="str">
        <f>IF(finals!H15="","",finals!H15)</f>
        <v/>
      </c>
      <c r="W15" s="27" t="str">
        <f>IF(finals!I15="","",finals!I15)</f>
        <v/>
      </c>
      <c r="X15" s="27" t="str">
        <f>IF(finals!J15="","",finals!J15)</f>
        <v/>
      </c>
      <c r="Y15" s="27" t="str">
        <f>IF(finals!K15="","",finals!K15)</f>
        <v/>
      </c>
      <c r="Z15" s="27" t="str">
        <f>IF(finals!L15="","",finals!L15)</f>
        <v/>
      </c>
      <c r="AA15" s="27" t="str">
        <f>IF(finals!M15="","",finals!M15)</f>
        <v/>
      </c>
      <c r="AB15" s="27" t="str">
        <f>IF(finals!N15="","",finals!N15)</f>
        <v/>
      </c>
      <c r="AC15" s="27" t="str">
        <f>IF(finals!O15="","",finals!O15)</f>
        <v/>
      </c>
      <c r="AD15" s="27" t="str">
        <f>IF(finals!P15="","",finals!P15)</f>
        <v/>
      </c>
      <c r="AE15" s="40">
        <f>midterms!Q15</f>
        <v>1</v>
      </c>
      <c r="AF15" s="41"/>
      <c r="AG15" s="40">
        <f>finals!Q15</f>
        <v>0</v>
      </c>
      <c r="AH15" s="41"/>
      <c r="AI15" s="40">
        <f t="shared" si="0"/>
        <v>1</v>
      </c>
      <c r="AJ15" s="41"/>
    </row>
    <row r="16" spans="1:36" s="2" customFormat="1" ht="25" customHeight="1" x14ac:dyDescent="0.2">
      <c r="A16" s="28">
        <f>midterms!A16</f>
        <v>14</v>
      </c>
      <c r="B16" s="29" t="str">
        <f>midterms!B16</f>
        <v>QUIJANO, REYNALD RODRIGUEZ</v>
      </c>
      <c r="C16" s="30" t="str">
        <f>IF(midterms!C16="","",midterms!C16)</f>
        <v/>
      </c>
      <c r="D16" s="30">
        <f>IF(midterms!D16="","",midterms!D16)</f>
        <v>1</v>
      </c>
      <c r="E16" s="30" t="str">
        <f>IF(midterms!E16="","",midterms!E16)</f>
        <v/>
      </c>
      <c r="F16" s="30" t="str">
        <f>IF(midterms!F16="","",midterms!F16)</f>
        <v/>
      </c>
      <c r="G16" s="30" t="str">
        <f>IF(midterms!G16="","",midterms!G16)</f>
        <v/>
      </c>
      <c r="H16" s="30" t="str">
        <f>IF(midterms!H16="","",midterms!H16)</f>
        <v/>
      </c>
      <c r="I16" s="30" t="str">
        <f>IF(midterms!I16="","",midterms!I16)</f>
        <v/>
      </c>
      <c r="J16" s="30" t="str">
        <f>IF(midterms!J16="","",midterms!J16)</f>
        <v/>
      </c>
      <c r="K16" s="30" t="str">
        <f>IF(midterms!K16="","",midterms!K16)</f>
        <v/>
      </c>
      <c r="L16" s="30" t="str">
        <f>IF(midterms!L16="","",midterms!L16)</f>
        <v/>
      </c>
      <c r="M16" s="30" t="str">
        <f>IF(midterms!M16="","",midterms!M16)</f>
        <v/>
      </c>
      <c r="N16" s="30" t="str">
        <f>IF(midterms!N16="","",midterms!N16)</f>
        <v/>
      </c>
      <c r="O16" s="30" t="str">
        <f>IF(midterms!O16="","",midterms!O16)</f>
        <v/>
      </c>
      <c r="P16" s="30" t="str">
        <f>IF(midterms!P16="","",midterms!P16)</f>
        <v/>
      </c>
      <c r="Q16" s="30" t="str">
        <f>IF(finals!C16="","",finals!C16)</f>
        <v/>
      </c>
      <c r="R16" s="30" t="str">
        <f>IF(finals!D16="","",finals!D16)</f>
        <v/>
      </c>
      <c r="S16" s="30" t="str">
        <f>IF(finals!E16="","",finals!E16)</f>
        <v/>
      </c>
      <c r="T16" s="30" t="str">
        <f>IF(finals!F16="","",finals!F16)</f>
        <v/>
      </c>
      <c r="U16" s="30" t="str">
        <f>IF(finals!G16="","",finals!G16)</f>
        <v/>
      </c>
      <c r="V16" s="30" t="str">
        <f>IF(finals!H16="","",finals!H16)</f>
        <v/>
      </c>
      <c r="W16" s="30" t="str">
        <f>IF(finals!I16="","",finals!I16)</f>
        <v/>
      </c>
      <c r="X16" s="30" t="str">
        <f>IF(finals!J16="","",finals!J16)</f>
        <v/>
      </c>
      <c r="Y16" s="30" t="str">
        <f>IF(finals!K16="","",finals!K16)</f>
        <v/>
      </c>
      <c r="Z16" s="30" t="str">
        <f>IF(finals!L16="","",finals!L16)</f>
        <v/>
      </c>
      <c r="AA16" s="30" t="str">
        <f>IF(finals!M16="","",finals!M16)</f>
        <v/>
      </c>
      <c r="AB16" s="30" t="str">
        <f>IF(finals!N16="","",finals!N16)</f>
        <v/>
      </c>
      <c r="AC16" s="30" t="str">
        <f>IF(finals!O16="","",finals!O16)</f>
        <v/>
      </c>
      <c r="AD16" s="30" t="str">
        <f>IF(finals!P16="","",finals!P16)</f>
        <v/>
      </c>
      <c r="AE16" s="52">
        <f>midterms!Q16</f>
        <v>1</v>
      </c>
      <c r="AF16" s="41"/>
      <c r="AG16" s="52">
        <f>finals!Q16</f>
        <v>0</v>
      </c>
      <c r="AH16" s="41"/>
      <c r="AI16" s="52">
        <f t="shared" si="0"/>
        <v>1</v>
      </c>
      <c r="AJ16" s="41"/>
    </row>
    <row r="17" spans="1:36" s="2" customFormat="1" ht="25" customHeight="1" x14ac:dyDescent="0.2">
      <c r="A17" s="25">
        <f>midterms!A17</f>
        <v>15</v>
      </c>
      <c r="B17" s="26" t="str">
        <f>midterms!B17</f>
        <v>RUBIA, MIKE ANGELO ALDOVINO</v>
      </c>
      <c r="C17" s="27" t="str">
        <f>IF(midterms!C17="","",midterms!C17)</f>
        <v/>
      </c>
      <c r="D17" s="27">
        <f>IF(midterms!D17="","",midterms!D17)</f>
        <v>1</v>
      </c>
      <c r="E17" s="27" t="str">
        <f>IF(midterms!E17="","",midterms!E17)</f>
        <v/>
      </c>
      <c r="F17" s="27" t="str">
        <f>IF(midterms!F17="","",midterms!F17)</f>
        <v/>
      </c>
      <c r="G17" s="27" t="str">
        <f>IF(midterms!G17="","",midterms!G17)</f>
        <v/>
      </c>
      <c r="H17" s="27" t="str">
        <f>IF(midterms!H17="","",midterms!H17)</f>
        <v/>
      </c>
      <c r="I17" s="27" t="str">
        <f>IF(midterms!I17="","",midterms!I17)</f>
        <v/>
      </c>
      <c r="J17" s="27" t="str">
        <f>IF(midterms!J17="","",midterms!J17)</f>
        <v/>
      </c>
      <c r="K17" s="27" t="str">
        <f>IF(midterms!K17="","",midterms!K17)</f>
        <v/>
      </c>
      <c r="L17" s="27" t="str">
        <f>IF(midterms!L17="","",midterms!L17)</f>
        <v/>
      </c>
      <c r="M17" s="27" t="str">
        <f>IF(midterms!M17="","",midterms!M17)</f>
        <v/>
      </c>
      <c r="N17" s="27" t="str">
        <f>IF(midterms!N17="","",midterms!N17)</f>
        <v/>
      </c>
      <c r="O17" s="27" t="str">
        <f>IF(midterms!O17="","",midterms!O17)</f>
        <v/>
      </c>
      <c r="P17" s="27" t="str">
        <f>IF(midterms!P17="","",midterms!P17)</f>
        <v/>
      </c>
      <c r="Q17" s="27" t="str">
        <f>IF(finals!C17="","",finals!C17)</f>
        <v/>
      </c>
      <c r="R17" s="27" t="str">
        <f>IF(finals!D17="","",finals!D17)</f>
        <v/>
      </c>
      <c r="S17" s="27" t="str">
        <f>IF(finals!E17="","",finals!E17)</f>
        <v/>
      </c>
      <c r="T17" s="27" t="str">
        <f>IF(finals!F17="","",finals!F17)</f>
        <v/>
      </c>
      <c r="U17" s="27" t="str">
        <f>IF(finals!G17="","",finals!G17)</f>
        <v/>
      </c>
      <c r="V17" s="27" t="str">
        <f>IF(finals!H17="","",finals!H17)</f>
        <v/>
      </c>
      <c r="W17" s="27" t="str">
        <f>IF(finals!I17="","",finals!I17)</f>
        <v/>
      </c>
      <c r="X17" s="27" t="str">
        <f>IF(finals!J17="","",finals!J17)</f>
        <v/>
      </c>
      <c r="Y17" s="27" t="str">
        <f>IF(finals!K17="","",finals!K17)</f>
        <v/>
      </c>
      <c r="Z17" s="27" t="str">
        <f>IF(finals!L17="","",finals!L17)</f>
        <v/>
      </c>
      <c r="AA17" s="27" t="str">
        <f>IF(finals!M17="","",finals!M17)</f>
        <v/>
      </c>
      <c r="AB17" s="27" t="str">
        <f>IF(finals!N17="","",finals!N17)</f>
        <v/>
      </c>
      <c r="AC17" s="27" t="str">
        <f>IF(finals!O17="","",finals!O17)</f>
        <v/>
      </c>
      <c r="AD17" s="27" t="str">
        <f>IF(finals!P17="","",finals!P17)</f>
        <v/>
      </c>
      <c r="AE17" s="40">
        <f>midterms!Q17</f>
        <v>1</v>
      </c>
      <c r="AF17" s="41"/>
      <c r="AG17" s="40">
        <f>finals!Q17</f>
        <v>0</v>
      </c>
      <c r="AH17" s="41"/>
      <c r="AI17" s="40">
        <f t="shared" si="0"/>
        <v>1</v>
      </c>
      <c r="AJ17" s="41"/>
    </row>
    <row r="18" spans="1:36" s="2" customFormat="1" ht="25" customHeight="1" x14ac:dyDescent="0.2">
      <c r="A18" s="28">
        <f>midterms!A18</f>
        <v>16</v>
      </c>
      <c r="B18" s="29" t="str">
        <f>midterms!B18</f>
        <v>SOTELO, MINDAPHIL FRANCISCA</v>
      </c>
      <c r="C18" s="30" t="str">
        <f>IF(midterms!C18="","",midterms!C18)</f>
        <v/>
      </c>
      <c r="D18" s="30">
        <f>IF(midterms!D18="","",midterms!D18)</f>
        <v>0</v>
      </c>
      <c r="E18" s="30" t="str">
        <f>IF(midterms!E18="","",midterms!E18)</f>
        <v/>
      </c>
      <c r="F18" s="30" t="str">
        <f>IF(midterms!F18="","",midterms!F18)</f>
        <v/>
      </c>
      <c r="G18" s="30" t="str">
        <f>IF(midterms!G18="","",midterms!G18)</f>
        <v/>
      </c>
      <c r="H18" s="30" t="str">
        <f>IF(midterms!H18="","",midterms!H18)</f>
        <v/>
      </c>
      <c r="I18" s="30" t="str">
        <f>IF(midterms!I18="","",midterms!I18)</f>
        <v/>
      </c>
      <c r="J18" s="30" t="str">
        <f>IF(midterms!J18="","",midterms!J18)</f>
        <v/>
      </c>
      <c r="K18" s="30" t="str">
        <f>IF(midterms!K18="","",midterms!K18)</f>
        <v/>
      </c>
      <c r="L18" s="30" t="str">
        <f>IF(midterms!L18="","",midterms!L18)</f>
        <v/>
      </c>
      <c r="M18" s="30" t="str">
        <f>IF(midterms!M18="","",midterms!M18)</f>
        <v/>
      </c>
      <c r="N18" s="30" t="str">
        <f>IF(midterms!N18="","",midterms!N18)</f>
        <v/>
      </c>
      <c r="O18" s="30" t="str">
        <f>IF(midterms!O18="","",midterms!O18)</f>
        <v/>
      </c>
      <c r="P18" s="30" t="str">
        <f>IF(midterms!P18="","",midterms!P18)</f>
        <v/>
      </c>
      <c r="Q18" s="30" t="str">
        <f>IF(finals!C18="","",finals!C18)</f>
        <v/>
      </c>
      <c r="R18" s="30" t="str">
        <f>IF(finals!D18="","",finals!D18)</f>
        <v/>
      </c>
      <c r="S18" s="30" t="str">
        <f>IF(finals!E18="","",finals!E18)</f>
        <v/>
      </c>
      <c r="T18" s="30" t="str">
        <f>IF(finals!F18="","",finals!F18)</f>
        <v/>
      </c>
      <c r="U18" s="30" t="str">
        <f>IF(finals!G18="","",finals!G18)</f>
        <v/>
      </c>
      <c r="V18" s="30" t="str">
        <f>IF(finals!H18="","",finals!H18)</f>
        <v/>
      </c>
      <c r="W18" s="30" t="str">
        <f>IF(finals!I18="","",finals!I18)</f>
        <v/>
      </c>
      <c r="X18" s="30" t="str">
        <f>IF(finals!J18="","",finals!J18)</f>
        <v/>
      </c>
      <c r="Y18" s="30" t="str">
        <f>IF(finals!K18="","",finals!K18)</f>
        <v/>
      </c>
      <c r="Z18" s="30" t="str">
        <f>IF(finals!L18="","",finals!L18)</f>
        <v/>
      </c>
      <c r="AA18" s="30" t="str">
        <f>IF(finals!M18="","",finals!M18)</f>
        <v/>
      </c>
      <c r="AB18" s="30" t="str">
        <f>IF(finals!N18="","",finals!N18)</f>
        <v/>
      </c>
      <c r="AC18" s="30" t="str">
        <f>IF(finals!O18="","",finals!O18)</f>
        <v/>
      </c>
      <c r="AD18" s="30" t="str">
        <f>IF(finals!P18="","",finals!P18)</f>
        <v/>
      </c>
      <c r="AE18" s="52">
        <f>midterms!Q18</f>
        <v>0</v>
      </c>
      <c r="AF18" s="41"/>
      <c r="AG18" s="52">
        <f>finals!Q18</f>
        <v>0</v>
      </c>
      <c r="AH18" s="41"/>
      <c r="AI18" s="52">
        <f t="shared" si="0"/>
        <v>0</v>
      </c>
      <c r="AJ18" s="41"/>
    </row>
    <row r="19" spans="1:36" s="2" customFormat="1" ht="25" customHeight="1" x14ac:dyDescent="0.2">
      <c r="A19" s="25">
        <f>midterms!A19</f>
        <v>17</v>
      </c>
      <c r="B19" s="26" t="str">
        <f>midterms!B19</f>
        <v>STA. ANA, JUSTINE FRANCIS BALAMBAN</v>
      </c>
      <c r="C19" s="27" t="str">
        <f>IF(midterms!C19="","",midterms!C19)</f>
        <v/>
      </c>
      <c r="D19" s="27">
        <f>IF(midterms!D19="","",midterms!D19)</f>
        <v>0</v>
      </c>
      <c r="E19" s="27" t="str">
        <f>IF(midterms!E19="","",midterms!E19)</f>
        <v/>
      </c>
      <c r="F19" s="27" t="str">
        <f>IF(midterms!F19="","",midterms!F19)</f>
        <v/>
      </c>
      <c r="G19" s="27" t="str">
        <f>IF(midterms!G19="","",midterms!G19)</f>
        <v/>
      </c>
      <c r="H19" s="27" t="str">
        <f>IF(midterms!H19="","",midterms!H19)</f>
        <v/>
      </c>
      <c r="I19" s="27" t="str">
        <f>IF(midterms!I19="","",midterms!I19)</f>
        <v/>
      </c>
      <c r="J19" s="27" t="str">
        <f>IF(midterms!J19="","",midterms!J19)</f>
        <v/>
      </c>
      <c r="K19" s="27" t="str">
        <f>IF(midterms!K19="","",midterms!K19)</f>
        <v/>
      </c>
      <c r="L19" s="27" t="str">
        <f>IF(midterms!L19="","",midterms!L19)</f>
        <v/>
      </c>
      <c r="M19" s="27" t="str">
        <f>IF(midterms!M19="","",midterms!M19)</f>
        <v/>
      </c>
      <c r="N19" s="27" t="str">
        <f>IF(midterms!N19="","",midterms!N19)</f>
        <v/>
      </c>
      <c r="O19" s="27" t="str">
        <f>IF(midterms!O19="","",midterms!O19)</f>
        <v/>
      </c>
      <c r="P19" s="27" t="str">
        <f>IF(midterms!P19="","",midterms!P19)</f>
        <v/>
      </c>
      <c r="Q19" s="27" t="str">
        <f>IF(finals!C19="","",finals!C19)</f>
        <v/>
      </c>
      <c r="R19" s="27" t="str">
        <f>IF(finals!D19="","",finals!D19)</f>
        <v/>
      </c>
      <c r="S19" s="27" t="str">
        <f>IF(finals!E19="","",finals!E19)</f>
        <v/>
      </c>
      <c r="T19" s="27" t="str">
        <f>IF(finals!F19="","",finals!F19)</f>
        <v/>
      </c>
      <c r="U19" s="27" t="str">
        <f>IF(finals!G19="","",finals!G19)</f>
        <v/>
      </c>
      <c r="V19" s="27" t="str">
        <f>IF(finals!H19="","",finals!H19)</f>
        <v/>
      </c>
      <c r="W19" s="27" t="str">
        <f>IF(finals!I19="","",finals!I19)</f>
        <v/>
      </c>
      <c r="X19" s="27" t="str">
        <f>IF(finals!J19="","",finals!J19)</f>
        <v/>
      </c>
      <c r="Y19" s="27" t="str">
        <f>IF(finals!K19="","",finals!K19)</f>
        <v/>
      </c>
      <c r="Z19" s="27" t="str">
        <f>IF(finals!L19="","",finals!L19)</f>
        <v/>
      </c>
      <c r="AA19" s="27" t="str">
        <f>IF(finals!M19="","",finals!M19)</f>
        <v/>
      </c>
      <c r="AB19" s="27" t="str">
        <f>IF(finals!N19="","",finals!N19)</f>
        <v/>
      </c>
      <c r="AC19" s="27" t="str">
        <f>IF(finals!O19="","",finals!O19)</f>
        <v/>
      </c>
      <c r="AD19" s="27" t="str">
        <f>IF(finals!P19="","",finals!P19)</f>
        <v/>
      </c>
      <c r="AE19" s="40">
        <f>midterms!Q19</f>
        <v>0</v>
      </c>
      <c r="AF19" s="41"/>
      <c r="AG19" s="40">
        <f>finals!Q19</f>
        <v>0</v>
      </c>
      <c r="AH19" s="41"/>
      <c r="AI19" s="40">
        <f t="shared" si="0"/>
        <v>0</v>
      </c>
      <c r="AJ19" s="41"/>
    </row>
    <row r="20" spans="1:36" s="2" customFormat="1" ht="25" customHeight="1" x14ac:dyDescent="0.2">
      <c r="A20" s="28">
        <f>midterms!A20</f>
        <v>18</v>
      </c>
      <c r="B20" s="29" t="str">
        <f>midterms!B20</f>
        <v>SURLA, CINDY ELLA SARAIL</v>
      </c>
      <c r="C20" s="30" t="str">
        <f>IF(midterms!C20="","",midterms!C20)</f>
        <v/>
      </c>
      <c r="D20" s="30">
        <f>IF(midterms!D20="","",midterms!D20)</f>
        <v>1</v>
      </c>
      <c r="E20" s="30" t="str">
        <f>IF(midterms!E20="","",midterms!E20)</f>
        <v/>
      </c>
      <c r="F20" s="30" t="str">
        <f>IF(midterms!F20="","",midterms!F20)</f>
        <v/>
      </c>
      <c r="G20" s="30" t="str">
        <f>IF(midterms!G20="","",midterms!G20)</f>
        <v/>
      </c>
      <c r="H20" s="30" t="str">
        <f>IF(midterms!H20="","",midterms!H20)</f>
        <v/>
      </c>
      <c r="I20" s="30" t="str">
        <f>IF(midterms!I20="","",midterms!I20)</f>
        <v/>
      </c>
      <c r="J20" s="30" t="str">
        <f>IF(midterms!J20="","",midterms!J20)</f>
        <v/>
      </c>
      <c r="K20" s="30" t="str">
        <f>IF(midterms!K20="","",midterms!K20)</f>
        <v/>
      </c>
      <c r="L20" s="30" t="str">
        <f>IF(midterms!L20="","",midterms!L20)</f>
        <v/>
      </c>
      <c r="M20" s="30" t="str">
        <f>IF(midterms!M20="","",midterms!M20)</f>
        <v/>
      </c>
      <c r="N20" s="30" t="str">
        <f>IF(midterms!N20="","",midterms!N20)</f>
        <v/>
      </c>
      <c r="O20" s="30" t="str">
        <f>IF(midterms!O20="","",midterms!O20)</f>
        <v/>
      </c>
      <c r="P20" s="30" t="str">
        <f>IF(midterms!P20="","",midterms!P20)</f>
        <v/>
      </c>
      <c r="Q20" s="30" t="str">
        <f>IF(finals!C20="","",finals!C20)</f>
        <v/>
      </c>
      <c r="R20" s="30" t="str">
        <f>IF(finals!D20="","",finals!D20)</f>
        <v/>
      </c>
      <c r="S20" s="30" t="str">
        <f>IF(finals!E20="","",finals!E20)</f>
        <v/>
      </c>
      <c r="T20" s="30" t="str">
        <f>IF(finals!F20="","",finals!F20)</f>
        <v/>
      </c>
      <c r="U20" s="30" t="str">
        <f>IF(finals!G20="","",finals!G20)</f>
        <v/>
      </c>
      <c r="V20" s="30" t="str">
        <f>IF(finals!H20="","",finals!H20)</f>
        <v/>
      </c>
      <c r="W20" s="30" t="str">
        <f>IF(finals!I20="","",finals!I20)</f>
        <v/>
      </c>
      <c r="X20" s="30" t="str">
        <f>IF(finals!J20="","",finals!J20)</f>
        <v/>
      </c>
      <c r="Y20" s="30" t="str">
        <f>IF(finals!K20="","",finals!K20)</f>
        <v/>
      </c>
      <c r="Z20" s="30" t="str">
        <f>IF(finals!L20="","",finals!L20)</f>
        <v/>
      </c>
      <c r="AA20" s="30" t="str">
        <f>IF(finals!M20="","",finals!M20)</f>
        <v/>
      </c>
      <c r="AB20" s="30" t="str">
        <f>IF(finals!N20="","",finals!N20)</f>
        <v/>
      </c>
      <c r="AC20" s="30" t="str">
        <f>IF(finals!O20="","",finals!O20)</f>
        <v/>
      </c>
      <c r="AD20" s="30" t="str">
        <f>IF(finals!P20="","",finals!P20)</f>
        <v/>
      </c>
      <c r="AE20" s="52">
        <f>midterms!Q20</f>
        <v>1</v>
      </c>
      <c r="AF20" s="41"/>
      <c r="AG20" s="52">
        <f>finals!Q20</f>
        <v>0</v>
      </c>
      <c r="AH20" s="41"/>
      <c r="AI20" s="52">
        <f t="shared" si="0"/>
        <v>1</v>
      </c>
      <c r="AJ20" s="41"/>
    </row>
    <row r="21" spans="1:36" s="2" customFormat="1" ht="25" customHeight="1" x14ac:dyDescent="0.2">
      <c r="A21" s="25">
        <f>midterms!A21</f>
        <v>19</v>
      </c>
      <c r="B21" s="26" t="str">
        <f>midterms!B21</f>
        <v>TEJADA, SYMON JOSHUA CARAIG</v>
      </c>
      <c r="C21" s="27" t="str">
        <f>IF(midterms!C21="","",midterms!C21)</f>
        <v/>
      </c>
      <c r="D21" s="27">
        <f>IF(midterms!D21="","",midterms!D21)</f>
        <v>1</v>
      </c>
      <c r="E21" s="27" t="str">
        <f>IF(midterms!E21="","",midterms!E21)</f>
        <v/>
      </c>
      <c r="F21" s="27" t="str">
        <f>IF(midterms!F21="","",midterms!F21)</f>
        <v/>
      </c>
      <c r="G21" s="27" t="str">
        <f>IF(midterms!G21="","",midterms!G21)</f>
        <v/>
      </c>
      <c r="H21" s="27" t="str">
        <f>IF(midterms!H21="","",midterms!H21)</f>
        <v/>
      </c>
      <c r="I21" s="27" t="str">
        <f>IF(midterms!I21="","",midterms!I21)</f>
        <v/>
      </c>
      <c r="J21" s="27" t="str">
        <f>IF(midterms!J21="","",midterms!J21)</f>
        <v/>
      </c>
      <c r="K21" s="27" t="str">
        <f>IF(midterms!K21="","",midterms!K21)</f>
        <v/>
      </c>
      <c r="L21" s="27" t="str">
        <f>IF(midterms!L21="","",midterms!L21)</f>
        <v/>
      </c>
      <c r="M21" s="27" t="str">
        <f>IF(midterms!M21="","",midterms!M21)</f>
        <v/>
      </c>
      <c r="N21" s="27" t="str">
        <f>IF(midterms!N21="","",midterms!N21)</f>
        <v/>
      </c>
      <c r="O21" s="27" t="str">
        <f>IF(midterms!O21="","",midterms!O21)</f>
        <v/>
      </c>
      <c r="P21" s="27" t="str">
        <f>IF(midterms!P21="","",midterms!P21)</f>
        <v/>
      </c>
      <c r="Q21" s="27" t="str">
        <f>IF(finals!C21="","",finals!C21)</f>
        <v/>
      </c>
      <c r="R21" s="27" t="str">
        <f>IF(finals!D21="","",finals!D21)</f>
        <v/>
      </c>
      <c r="S21" s="27" t="str">
        <f>IF(finals!E21="","",finals!E21)</f>
        <v/>
      </c>
      <c r="T21" s="27" t="str">
        <f>IF(finals!F21="","",finals!F21)</f>
        <v/>
      </c>
      <c r="U21" s="27" t="str">
        <f>IF(finals!G21="","",finals!G21)</f>
        <v/>
      </c>
      <c r="V21" s="27" t="str">
        <f>IF(finals!H21="","",finals!H21)</f>
        <v/>
      </c>
      <c r="W21" s="27" t="str">
        <f>IF(finals!I21="","",finals!I21)</f>
        <v/>
      </c>
      <c r="X21" s="27" t="str">
        <f>IF(finals!J21="","",finals!J21)</f>
        <v/>
      </c>
      <c r="Y21" s="27" t="str">
        <f>IF(finals!K21="","",finals!K21)</f>
        <v/>
      </c>
      <c r="Z21" s="27" t="str">
        <f>IF(finals!L21="","",finals!L21)</f>
        <v/>
      </c>
      <c r="AA21" s="27" t="str">
        <f>IF(finals!M21="","",finals!M21)</f>
        <v/>
      </c>
      <c r="AB21" s="27" t="str">
        <f>IF(finals!N21="","",finals!N21)</f>
        <v/>
      </c>
      <c r="AC21" s="27" t="str">
        <f>IF(finals!O21="","",finals!O21)</f>
        <v/>
      </c>
      <c r="AD21" s="27" t="str">
        <f>IF(finals!P21="","",finals!P21)</f>
        <v/>
      </c>
      <c r="AE21" s="40">
        <f>midterms!Q21</f>
        <v>1</v>
      </c>
      <c r="AF21" s="41"/>
      <c r="AG21" s="40">
        <f>finals!Q21</f>
        <v>0</v>
      </c>
      <c r="AH21" s="41"/>
      <c r="AI21" s="40">
        <f t="shared" si="0"/>
        <v>1</v>
      </c>
      <c r="AJ21" s="41"/>
    </row>
    <row r="22" spans="1:36" s="2" customFormat="1" ht="25" customHeight="1" x14ac:dyDescent="0.2">
      <c r="A22" s="28">
        <f>midterms!A22</f>
        <v>20</v>
      </c>
      <c r="B22" s="29" t="str">
        <f>midterms!B22</f>
        <v>TOLOSA, ALDEN JR. ZAMORA</v>
      </c>
      <c r="C22" s="30" t="str">
        <f>IF(midterms!C22="","",midterms!C22)</f>
        <v/>
      </c>
      <c r="D22" s="30">
        <f>IF(midterms!D22="","",midterms!D22)</f>
        <v>1</v>
      </c>
      <c r="E22" s="30" t="str">
        <f>IF(midterms!E22="","",midterms!E22)</f>
        <v/>
      </c>
      <c r="F22" s="30" t="str">
        <f>IF(midterms!F22="","",midterms!F22)</f>
        <v/>
      </c>
      <c r="G22" s="30" t="str">
        <f>IF(midterms!G22="","",midterms!G22)</f>
        <v/>
      </c>
      <c r="H22" s="30" t="str">
        <f>IF(midterms!H22="","",midterms!H22)</f>
        <v/>
      </c>
      <c r="I22" s="30" t="str">
        <f>IF(midterms!I22="","",midterms!I22)</f>
        <v/>
      </c>
      <c r="J22" s="30" t="str">
        <f>IF(midterms!J22="","",midterms!J22)</f>
        <v/>
      </c>
      <c r="K22" s="30" t="str">
        <f>IF(midterms!K22="","",midterms!K22)</f>
        <v/>
      </c>
      <c r="L22" s="30" t="str">
        <f>IF(midterms!L22="","",midterms!L22)</f>
        <v/>
      </c>
      <c r="M22" s="30" t="str">
        <f>IF(midterms!M22="","",midterms!M22)</f>
        <v/>
      </c>
      <c r="N22" s="30" t="str">
        <f>IF(midterms!N22="","",midterms!N22)</f>
        <v/>
      </c>
      <c r="O22" s="30" t="str">
        <f>IF(midterms!O22="","",midterms!O22)</f>
        <v/>
      </c>
      <c r="P22" s="30" t="str">
        <f>IF(midterms!P22="","",midterms!P22)</f>
        <v/>
      </c>
      <c r="Q22" s="30" t="str">
        <f>IF(finals!C22="","",finals!C22)</f>
        <v/>
      </c>
      <c r="R22" s="30" t="str">
        <f>IF(finals!D22="","",finals!D22)</f>
        <v/>
      </c>
      <c r="S22" s="30" t="str">
        <f>IF(finals!E22="","",finals!E22)</f>
        <v/>
      </c>
      <c r="T22" s="30" t="str">
        <f>IF(finals!F22="","",finals!F22)</f>
        <v/>
      </c>
      <c r="U22" s="30" t="str">
        <f>IF(finals!G22="","",finals!G22)</f>
        <v/>
      </c>
      <c r="V22" s="30" t="str">
        <f>IF(finals!H22="","",finals!H22)</f>
        <v/>
      </c>
      <c r="W22" s="30" t="str">
        <f>IF(finals!I22="","",finals!I22)</f>
        <v/>
      </c>
      <c r="X22" s="30" t="str">
        <f>IF(finals!J22="","",finals!J22)</f>
        <v/>
      </c>
      <c r="Y22" s="30" t="str">
        <f>IF(finals!K22="","",finals!K22)</f>
        <v/>
      </c>
      <c r="Z22" s="30" t="str">
        <f>IF(finals!L22="","",finals!L22)</f>
        <v/>
      </c>
      <c r="AA22" s="30" t="str">
        <f>IF(finals!M22="","",finals!M22)</f>
        <v/>
      </c>
      <c r="AB22" s="30" t="str">
        <f>IF(finals!N22="","",finals!N22)</f>
        <v/>
      </c>
      <c r="AC22" s="30" t="str">
        <f>IF(finals!O22="","",finals!O22)</f>
        <v/>
      </c>
      <c r="AD22" s="30" t="str">
        <f>IF(finals!P22="","",finals!P22)</f>
        <v/>
      </c>
      <c r="AE22" s="52">
        <f>midterms!Q22</f>
        <v>1</v>
      </c>
      <c r="AF22" s="41"/>
      <c r="AG22" s="52">
        <f>finals!Q22</f>
        <v>0</v>
      </c>
      <c r="AH22" s="41"/>
      <c r="AI22" s="52">
        <f t="shared" si="0"/>
        <v>1</v>
      </c>
      <c r="AJ22" s="41"/>
    </row>
    <row r="23" spans="1:36" s="2" customFormat="1" ht="25" customHeight="1" x14ac:dyDescent="0.2">
      <c r="A23" s="25">
        <f>midterms!A23</f>
        <v>21</v>
      </c>
      <c r="B23" s="26" t="str">
        <f>midterms!B23</f>
        <v>VENTUCILLO, RENZ JAY ELBANO</v>
      </c>
      <c r="C23" s="27" t="str">
        <f>IF(midterms!C23="","",midterms!C23)</f>
        <v/>
      </c>
      <c r="D23" s="27">
        <f>IF(midterms!D23="","",midterms!D23)</f>
        <v>0</v>
      </c>
      <c r="E23" s="27" t="str">
        <f>IF(midterms!E23="","",midterms!E23)</f>
        <v/>
      </c>
      <c r="F23" s="27" t="str">
        <f>IF(midterms!F23="","",midterms!F23)</f>
        <v/>
      </c>
      <c r="G23" s="27" t="str">
        <f>IF(midterms!G23="","",midterms!G23)</f>
        <v/>
      </c>
      <c r="H23" s="27" t="str">
        <f>IF(midterms!H23="","",midterms!H23)</f>
        <v/>
      </c>
      <c r="I23" s="27" t="str">
        <f>IF(midterms!I23="","",midterms!I23)</f>
        <v/>
      </c>
      <c r="J23" s="27" t="str">
        <f>IF(midterms!J23="","",midterms!J23)</f>
        <v/>
      </c>
      <c r="K23" s="27" t="str">
        <f>IF(midterms!K23="","",midterms!K23)</f>
        <v/>
      </c>
      <c r="L23" s="27" t="str">
        <f>IF(midterms!L23="","",midterms!L23)</f>
        <v/>
      </c>
      <c r="M23" s="27" t="str">
        <f>IF(midterms!M23="","",midterms!M23)</f>
        <v/>
      </c>
      <c r="N23" s="27" t="str">
        <f>IF(midterms!N23="","",midterms!N23)</f>
        <v/>
      </c>
      <c r="O23" s="27" t="str">
        <f>IF(midterms!O23="","",midterms!O23)</f>
        <v/>
      </c>
      <c r="P23" s="27" t="str">
        <f>IF(midterms!P23="","",midterms!P23)</f>
        <v/>
      </c>
      <c r="Q23" s="27" t="str">
        <f>IF(finals!C23="","",finals!C23)</f>
        <v/>
      </c>
      <c r="R23" s="27" t="str">
        <f>IF(finals!D23="","",finals!D23)</f>
        <v/>
      </c>
      <c r="S23" s="27" t="str">
        <f>IF(finals!E23="","",finals!E23)</f>
        <v/>
      </c>
      <c r="T23" s="27" t="str">
        <f>IF(finals!F23="","",finals!F23)</f>
        <v/>
      </c>
      <c r="U23" s="27" t="str">
        <f>IF(finals!G23="","",finals!G23)</f>
        <v/>
      </c>
      <c r="V23" s="27" t="str">
        <f>IF(finals!H23="","",finals!H23)</f>
        <v/>
      </c>
      <c r="W23" s="27" t="str">
        <f>IF(finals!I23="","",finals!I23)</f>
        <v/>
      </c>
      <c r="X23" s="27" t="str">
        <f>IF(finals!J23="","",finals!J23)</f>
        <v/>
      </c>
      <c r="Y23" s="27" t="str">
        <f>IF(finals!K23="","",finals!K23)</f>
        <v/>
      </c>
      <c r="Z23" s="27" t="str">
        <f>IF(finals!L23="","",finals!L23)</f>
        <v/>
      </c>
      <c r="AA23" s="27" t="str">
        <f>IF(finals!M23="","",finals!M23)</f>
        <v/>
      </c>
      <c r="AB23" s="27" t="str">
        <f>IF(finals!N23="","",finals!N23)</f>
        <v/>
      </c>
      <c r="AC23" s="27" t="str">
        <f>IF(finals!O23="","",finals!O23)</f>
        <v/>
      </c>
      <c r="AD23" s="27" t="str">
        <f>IF(finals!P23="","",finals!P23)</f>
        <v/>
      </c>
      <c r="AE23" s="40">
        <f>midterms!Q23</f>
        <v>0</v>
      </c>
      <c r="AF23" s="41"/>
      <c r="AG23" s="40">
        <f>finals!Q23</f>
        <v>0</v>
      </c>
      <c r="AH23" s="41"/>
      <c r="AI23" s="40">
        <f t="shared" si="0"/>
        <v>0</v>
      </c>
      <c r="AJ23" s="41"/>
    </row>
    <row r="24" spans="1:36" s="2" customFormat="1" ht="25" customHeight="1" x14ac:dyDescent="0.2">
      <c r="A24" s="28">
        <f>midterms!A24</f>
        <v>22</v>
      </c>
      <c r="B24" s="29" t="str">
        <f>midterms!B24</f>
        <v>VILLALUZ, ROAN JAMES AMARGO</v>
      </c>
      <c r="C24" s="30" t="str">
        <f>IF(midterms!C24="","",midterms!C24)</f>
        <v/>
      </c>
      <c r="D24" s="30">
        <f>IF(midterms!D24="","",midterms!D24)</f>
        <v>1</v>
      </c>
      <c r="E24" s="30" t="str">
        <f>IF(midterms!E24="","",midterms!E24)</f>
        <v/>
      </c>
      <c r="F24" s="30" t="str">
        <f>IF(midterms!F24="","",midterms!F24)</f>
        <v/>
      </c>
      <c r="G24" s="30" t="str">
        <f>IF(midterms!G24="","",midterms!G24)</f>
        <v/>
      </c>
      <c r="H24" s="30" t="str">
        <f>IF(midterms!H24="","",midterms!H24)</f>
        <v/>
      </c>
      <c r="I24" s="30" t="str">
        <f>IF(midterms!I24="","",midterms!I24)</f>
        <v/>
      </c>
      <c r="J24" s="30" t="str">
        <f>IF(midterms!J24="","",midterms!J24)</f>
        <v/>
      </c>
      <c r="K24" s="30" t="str">
        <f>IF(midterms!K24="","",midterms!K24)</f>
        <v/>
      </c>
      <c r="L24" s="30" t="str">
        <f>IF(midterms!L24="","",midterms!L24)</f>
        <v/>
      </c>
      <c r="M24" s="30" t="str">
        <f>IF(midterms!M24="","",midterms!M24)</f>
        <v/>
      </c>
      <c r="N24" s="30" t="str">
        <f>IF(midterms!N24="","",midterms!N24)</f>
        <v/>
      </c>
      <c r="O24" s="30" t="str">
        <f>IF(midterms!O24="","",midterms!O24)</f>
        <v/>
      </c>
      <c r="P24" s="30" t="str">
        <f>IF(midterms!P24="","",midterms!P24)</f>
        <v/>
      </c>
      <c r="Q24" s="30" t="str">
        <f>IF(finals!C24="","",finals!C24)</f>
        <v/>
      </c>
      <c r="R24" s="30" t="str">
        <f>IF(finals!D24="","",finals!D24)</f>
        <v/>
      </c>
      <c r="S24" s="30" t="str">
        <f>IF(finals!E24="","",finals!E24)</f>
        <v/>
      </c>
      <c r="T24" s="30" t="str">
        <f>IF(finals!F24="","",finals!F24)</f>
        <v/>
      </c>
      <c r="U24" s="30" t="str">
        <f>IF(finals!G24="","",finals!G24)</f>
        <v/>
      </c>
      <c r="V24" s="30" t="str">
        <f>IF(finals!H24="","",finals!H24)</f>
        <v/>
      </c>
      <c r="W24" s="30" t="str">
        <f>IF(finals!I24="","",finals!I24)</f>
        <v/>
      </c>
      <c r="X24" s="30" t="str">
        <f>IF(finals!J24="","",finals!J24)</f>
        <v/>
      </c>
      <c r="Y24" s="30" t="str">
        <f>IF(finals!K24="","",finals!K24)</f>
        <v/>
      </c>
      <c r="Z24" s="30" t="str">
        <f>IF(finals!L24="","",finals!L24)</f>
        <v/>
      </c>
      <c r="AA24" s="30" t="str">
        <f>IF(finals!M24="","",finals!M24)</f>
        <v/>
      </c>
      <c r="AB24" s="30" t="str">
        <f>IF(finals!N24="","",finals!N24)</f>
        <v/>
      </c>
      <c r="AC24" s="30" t="str">
        <f>IF(finals!O24="","",finals!O24)</f>
        <v/>
      </c>
      <c r="AD24" s="30" t="str">
        <f>IF(finals!P24="","",finals!P24)</f>
        <v/>
      </c>
      <c r="AE24" s="52">
        <f>midterms!Q24</f>
        <v>1</v>
      </c>
      <c r="AF24" s="41"/>
      <c r="AG24" s="52">
        <f>finals!Q24</f>
        <v>0</v>
      </c>
      <c r="AH24" s="41"/>
      <c r="AI24" s="52">
        <f t="shared" si="0"/>
        <v>1</v>
      </c>
      <c r="AJ24" s="41"/>
    </row>
    <row r="25" spans="1:36" s="2" customFormat="1" ht="25" customHeight="1" x14ac:dyDescent="0.2">
      <c r="A25" s="25">
        <f>midterms!A25</f>
        <v>23</v>
      </c>
      <c r="B25" s="26" t="str">
        <f>midterms!B25</f>
        <v>VILLANUEVA, ROJGE JERICHO</v>
      </c>
      <c r="C25" s="27" t="str">
        <f>IF(midterms!C25="","",midterms!C25)</f>
        <v/>
      </c>
      <c r="D25" s="27">
        <f>IF(midterms!D25="","",midterms!D25)</f>
        <v>0</v>
      </c>
      <c r="E25" s="27" t="str">
        <f>IF(midterms!E25="","",midterms!E25)</f>
        <v/>
      </c>
      <c r="F25" s="27" t="str">
        <f>IF(midterms!F25="","",midterms!F25)</f>
        <v/>
      </c>
      <c r="G25" s="27" t="str">
        <f>IF(midterms!G25="","",midterms!G25)</f>
        <v/>
      </c>
      <c r="H25" s="27" t="str">
        <f>IF(midterms!H25="","",midterms!H25)</f>
        <v/>
      </c>
      <c r="I25" s="27" t="str">
        <f>IF(midterms!I25="","",midterms!I25)</f>
        <v/>
      </c>
      <c r="J25" s="27" t="str">
        <f>IF(midterms!J25="","",midterms!J25)</f>
        <v/>
      </c>
      <c r="K25" s="27" t="str">
        <f>IF(midterms!K25="","",midterms!K25)</f>
        <v/>
      </c>
      <c r="L25" s="27" t="str">
        <f>IF(midterms!L25="","",midterms!L25)</f>
        <v/>
      </c>
      <c r="M25" s="27" t="str">
        <f>IF(midterms!M25="","",midterms!M25)</f>
        <v/>
      </c>
      <c r="N25" s="27" t="str">
        <f>IF(midterms!N25="","",midterms!N25)</f>
        <v/>
      </c>
      <c r="O25" s="27" t="str">
        <f>IF(midterms!O25="","",midterms!O25)</f>
        <v/>
      </c>
      <c r="P25" s="27" t="str">
        <f>IF(midterms!P25="","",midterms!P25)</f>
        <v/>
      </c>
      <c r="Q25" s="27" t="str">
        <f>IF(finals!C25="","",finals!C25)</f>
        <v/>
      </c>
      <c r="R25" s="27" t="str">
        <f>IF(finals!D25="","",finals!D25)</f>
        <v/>
      </c>
      <c r="S25" s="27" t="str">
        <f>IF(finals!E25="","",finals!E25)</f>
        <v/>
      </c>
      <c r="T25" s="27" t="str">
        <f>IF(finals!F25="","",finals!F25)</f>
        <v/>
      </c>
      <c r="U25" s="27" t="str">
        <f>IF(finals!G25="","",finals!G25)</f>
        <v/>
      </c>
      <c r="V25" s="27" t="str">
        <f>IF(finals!H25="","",finals!H25)</f>
        <v/>
      </c>
      <c r="W25" s="27" t="str">
        <f>IF(finals!I25="","",finals!I25)</f>
        <v/>
      </c>
      <c r="X25" s="27" t="str">
        <f>IF(finals!J25="","",finals!J25)</f>
        <v/>
      </c>
      <c r="Y25" s="27" t="str">
        <f>IF(finals!K25="","",finals!K25)</f>
        <v/>
      </c>
      <c r="Z25" s="27" t="str">
        <f>IF(finals!L25="","",finals!L25)</f>
        <v/>
      </c>
      <c r="AA25" s="27" t="str">
        <f>IF(finals!M25="","",finals!M25)</f>
        <v/>
      </c>
      <c r="AB25" s="27" t="str">
        <f>IF(finals!N25="","",finals!N25)</f>
        <v/>
      </c>
      <c r="AC25" s="27" t="str">
        <f>IF(finals!O25="","",finals!O25)</f>
        <v/>
      </c>
      <c r="AD25" s="27" t="str">
        <f>IF(finals!P25="","",finals!P25)</f>
        <v/>
      </c>
      <c r="AE25" s="40">
        <f>midterms!Q25</f>
        <v>0</v>
      </c>
      <c r="AF25" s="41"/>
      <c r="AG25" s="40">
        <f>finals!Q25</f>
        <v>0</v>
      </c>
      <c r="AH25" s="41"/>
      <c r="AI25" s="40">
        <f t="shared" si="0"/>
        <v>0</v>
      </c>
      <c r="AJ25" s="41"/>
    </row>
    <row r="26" spans="1:36" s="2" customFormat="1" ht="25" customHeight="1" x14ac:dyDescent="0.2"/>
    <row r="27" spans="1:36" s="2" customFormat="1" ht="25" customHeight="1" x14ac:dyDescent="0.2"/>
    <row r="28" spans="1:36" s="2" customFormat="1" ht="25" customHeight="1" x14ac:dyDescent="0.2"/>
    <row r="29" spans="1:36" s="2" customFormat="1" ht="25" customHeight="1" x14ac:dyDescent="0.2"/>
    <row r="30" spans="1:36" s="2" customFormat="1" ht="25" customHeight="1" x14ac:dyDescent="0.2"/>
    <row r="31" spans="1:36" s="2" customFormat="1" ht="25" customHeight="1" x14ac:dyDescent="0.2"/>
    <row r="32" spans="1:36" s="2" customFormat="1" ht="25" customHeight="1" x14ac:dyDescent="0.2"/>
    <row r="33" s="2" customFormat="1" ht="25" customHeight="1" x14ac:dyDescent="0.2"/>
    <row r="34" s="2" customFormat="1" ht="25" customHeight="1" x14ac:dyDescent="0.2"/>
    <row r="35" s="2" customFormat="1" ht="25" customHeight="1" x14ac:dyDescent="0.2"/>
    <row r="36" s="2" customFormat="1" ht="25" customHeight="1" x14ac:dyDescent="0.2"/>
    <row r="37" s="2" customFormat="1" ht="25" customHeight="1" x14ac:dyDescent="0.2"/>
    <row r="38" s="2" customFormat="1" ht="25" customHeight="1" x14ac:dyDescent="0.2"/>
    <row r="39" s="2" customFormat="1" ht="25" customHeight="1" x14ac:dyDescent="0.2"/>
    <row r="40" s="2" customFormat="1" ht="25" customHeight="1" x14ac:dyDescent="0.2"/>
    <row r="41" s="2" customFormat="1" ht="25" customHeight="1" x14ac:dyDescent="0.2"/>
    <row r="42" s="2" customFormat="1" ht="25" customHeight="1" x14ac:dyDescent="0.2"/>
    <row r="43" s="2" customFormat="1" ht="25" customHeight="1" x14ac:dyDescent="0.2"/>
    <row r="44" s="2" customFormat="1" ht="25" customHeight="1" thickBot="1" x14ac:dyDescent="0.25"/>
  </sheetData>
  <sheetProtection sheet="1" formatCells="0" insertColumns="0" insertRows="0" deleteColumns="0" deleteRows="0" selectLockedCells="1" selectUnlockedCells="1"/>
  <mergeCells count="88">
    <mergeCell ref="AI23:AJ23"/>
    <mergeCell ref="AE4:AF4"/>
    <mergeCell ref="A1:A2"/>
    <mergeCell ref="AI20:AJ20"/>
    <mergeCell ref="AI22:AJ22"/>
    <mergeCell ref="I1:J1"/>
    <mergeCell ref="AG12:AH12"/>
    <mergeCell ref="AI12:AJ12"/>
    <mergeCell ref="AI21:AJ21"/>
    <mergeCell ref="AE6:AF6"/>
    <mergeCell ref="AG14:AH14"/>
    <mergeCell ref="AI14:AJ14"/>
    <mergeCell ref="AI19:AJ19"/>
    <mergeCell ref="AG9:AH9"/>
    <mergeCell ref="AE18:AF18"/>
    <mergeCell ref="AI9:AJ9"/>
    <mergeCell ref="B1:B2"/>
    <mergeCell ref="AI17:AJ17"/>
    <mergeCell ref="AE7:AF7"/>
    <mergeCell ref="AE16:AF16"/>
    <mergeCell ref="AE1:AF2"/>
    <mergeCell ref="AA1:AB1"/>
    <mergeCell ref="AG10:AH10"/>
    <mergeCell ref="AI10:AJ10"/>
    <mergeCell ref="AI4:AJ4"/>
    <mergeCell ref="AE13:AF13"/>
    <mergeCell ref="AG13:AH13"/>
    <mergeCell ref="AE15:AF15"/>
    <mergeCell ref="G1:H1"/>
    <mergeCell ref="AG15:AH15"/>
    <mergeCell ref="AG8:AH8"/>
    <mergeCell ref="AI8:AJ8"/>
    <mergeCell ref="AE25:AF25"/>
    <mergeCell ref="AG25:AH25"/>
    <mergeCell ref="AE3:AF3"/>
    <mergeCell ref="AG6:AH6"/>
    <mergeCell ref="AG11:AH11"/>
    <mergeCell ref="AE24:AF24"/>
    <mergeCell ref="AG24:AH24"/>
    <mergeCell ref="AG23:AH23"/>
    <mergeCell ref="AE23:AF23"/>
    <mergeCell ref="Q1:R1"/>
    <mergeCell ref="AG7:AH7"/>
    <mergeCell ref="AI7:AJ7"/>
    <mergeCell ref="AG16:AH16"/>
    <mergeCell ref="AG1:AH2"/>
    <mergeCell ref="AI16:AJ16"/>
    <mergeCell ref="AC1:AD1"/>
    <mergeCell ref="AI1:AJ2"/>
    <mergeCell ref="AG18:AH18"/>
    <mergeCell ref="AI18:AJ18"/>
    <mergeCell ref="S1:T1"/>
    <mergeCell ref="U1:V1"/>
    <mergeCell ref="AE20:AF20"/>
    <mergeCell ref="AI6:AJ6"/>
    <mergeCell ref="AI11:AJ11"/>
    <mergeCell ref="AE17:AF17"/>
    <mergeCell ref="AG17:AH17"/>
    <mergeCell ref="AI25:AJ25"/>
    <mergeCell ref="AE10:AF10"/>
    <mergeCell ref="AE19:AF19"/>
    <mergeCell ref="AG19:AH19"/>
    <mergeCell ref="AE11:AF11"/>
    <mergeCell ref="AG20:AH20"/>
    <mergeCell ref="AE22:AF22"/>
    <mergeCell ref="AG22:AH22"/>
    <mergeCell ref="AE12:AF12"/>
    <mergeCell ref="AE21:AF21"/>
    <mergeCell ref="AG21:AH21"/>
    <mergeCell ref="AI15:AJ15"/>
    <mergeCell ref="AI24:AJ24"/>
    <mergeCell ref="AE14:AF14"/>
    <mergeCell ref="AG4:AH4"/>
    <mergeCell ref="AI13:AJ13"/>
    <mergeCell ref="C1:D1"/>
    <mergeCell ref="E1:F1"/>
    <mergeCell ref="W1:X1"/>
    <mergeCell ref="Y1:Z1"/>
    <mergeCell ref="O1:P1"/>
    <mergeCell ref="AE8:AF8"/>
    <mergeCell ref="AE9:AF9"/>
    <mergeCell ref="AG3:AH3"/>
    <mergeCell ref="AI3:AJ3"/>
    <mergeCell ref="AE5:AF5"/>
    <mergeCell ref="AG5:AH5"/>
    <mergeCell ref="AI5:AJ5"/>
    <mergeCell ref="M1:N1"/>
    <mergeCell ref="K1:L1"/>
  </mergeCells>
  <printOptions horizontalCentered="1"/>
  <pageMargins left="0.3" right="0.3" top="0.3" bottom="0.3" header="0.3" footer="0.3"/>
  <pageSetup scale="2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workbookViewId="0">
      <pane xSplit="2" ySplit="2" topLeftCell="D3" activePane="bottomRight" state="frozen"/>
      <selection activeCell="E3" sqref="E3"/>
      <selection pane="topRight" activeCell="E3" sqref="E3"/>
      <selection pane="bottomLeft" activeCell="E3" sqref="E3"/>
      <selection pane="bottomRight" activeCell="C13" sqref="C13"/>
    </sheetView>
  </sheetViews>
  <sheetFormatPr baseColWidth="10" defaultRowHeight="16" x14ac:dyDescent="0.2"/>
  <cols>
    <col min="1" max="1" width="3.7109375" bestFit="1" customWidth="1"/>
    <col min="2" max="2" width="49" bestFit="1" customWidth="1"/>
    <col min="3" max="3" width="26.140625" bestFit="1" customWidth="1"/>
    <col min="4" max="4" width="27.85546875" bestFit="1" customWidth="1"/>
    <col min="5" max="5" width="26.140625" bestFit="1" customWidth="1"/>
    <col min="6" max="6" width="28.140625" bestFit="1" customWidth="1"/>
    <col min="7" max="7" width="28.42578125" bestFit="1" customWidth="1"/>
    <col min="8" max="8" width="30" bestFit="1" customWidth="1"/>
    <col min="9" max="9" width="29.85546875" bestFit="1" customWidth="1"/>
    <col min="10" max="10" width="31.28515625" bestFit="1" customWidth="1"/>
    <col min="11" max="11" width="29.85546875" customWidth="1"/>
    <col min="12" max="12" width="31.28515625" customWidth="1"/>
    <col min="13" max="13" width="29.85546875" customWidth="1"/>
    <col min="14" max="14" width="31.28515625" customWidth="1"/>
    <col min="15" max="15" width="32.42578125" customWidth="1"/>
    <col min="16" max="16" width="34" customWidth="1"/>
    <col min="17" max="18" width="12" customWidth="1"/>
  </cols>
  <sheetData>
    <row r="1" spans="1:35" ht="23" customHeight="1" x14ac:dyDescent="0.2">
      <c r="A1" s="50" t="s">
        <v>0</v>
      </c>
      <c r="B1" s="44" t="s">
        <v>1</v>
      </c>
      <c r="C1" s="42" t="s">
        <v>2</v>
      </c>
      <c r="D1" s="43"/>
      <c r="E1" s="42" t="s">
        <v>3</v>
      </c>
      <c r="F1" s="43"/>
      <c r="G1" s="42" t="s">
        <v>4</v>
      </c>
      <c r="H1" s="43"/>
      <c r="I1" s="42" t="s">
        <v>5</v>
      </c>
      <c r="J1" s="43"/>
      <c r="K1" s="42" t="s">
        <v>6</v>
      </c>
      <c r="L1" s="43"/>
      <c r="M1" s="42" t="s">
        <v>7</v>
      </c>
      <c r="N1" s="43"/>
      <c r="O1" s="42" t="s">
        <v>8</v>
      </c>
      <c r="P1" s="43"/>
      <c r="Q1" s="46" t="s">
        <v>9</v>
      </c>
      <c r="R1" s="47"/>
      <c r="S1" s="7"/>
      <c r="U1" s="7"/>
      <c r="W1" s="7"/>
      <c r="Y1" s="7"/>
      <c r="AA1" s="7"/>
      <c r="AC1" s="7"/>
      <c r="AE1" s="8"/>
      <c r="AG1" s="8"/>
      <c r="AI1" s="8"/>
    </row>
    <row r="2" spans="1:35" ht="33" customHeight="1" thickBot="1" x14ac:dyDescent="0.25">
      <c r="A2" s="51"/>
      <c r="B2" s="45"/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48"/>
      <c r="R2" s="4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</row>
    <row r="3" spans="1:35" s="2" customFormat="1" ht="25" customHeight="1" x14ac:dyDescent="0.2">
      <c r="A3" s="19">
        <v>1</v>
      </c>
      <c r="B3" s="20" t="s">
        <v>24</v>
      </c>
      <c r="C3" s="21"/>
      <c r="D3" s="21">
        <v>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39">
        <f t="shared" ref="Q3:Q25" si="0">SUMPRODUCT((C3:P3=1)*1+(C3:P3=2)*0.75+(C3:P3=3)*0.69+(C3:P3=4)*0.63)</f>
        <v>0</v>
      </c>
      <c r="R3" s="3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G3" s="4"/>
      <c r="AI3" s="4"/>
    </row>
    <row r="4" spans="1:35" s="2" customFormat="1" ht="25" customHeight="1" x14ac:dyDescent="0.2">
      <c r="A4" s="22">
        <v>2</v>
      </c>
      <c r="B4" s="23" t="s">
        <v>25</v>
      </c>
      <c r="C4" s="24"/>
      <c r="D4" s="24">
        <v>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37">
        <f t="shared" si="0"/>
        <v>0</v>
      </c>
      <c r="R4" s="3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4"/>
      <c r="AG4" s="4"/>
      <c r="AI4" s="4"/>
    </row>
    <row r="5" spans="1:35" s="2" customFormat="1" ht="25" customHeight="1" x14ac:dyDescent="0.2">
      <c r="A5" s="19">
        <v>3</v>
      </c>
      <c r="B5" s="20" t="s">
        <v>26</v>
      </c>
      <c r="C5" s="21"/>
      <c r="D5" s="21">
        <v>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39">
        <f t="shared" si="0"/>
        <v>1</v>
      </c>
      <c r="R5" s="38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4"/>
      <c r="AG5" s="4"/>
      <c r="AI5" s="4"/>
    </row>
    <row r="6" spans="1:35" s="2" customFormat="1" ht="25" customHeight="1" x14ac:dyDescent="0.2">
      <c r="A6" s="22">
        <v>4</v>
      </c>
      <c r="B6" s="23" t="s">
        <v>27</v>
      </c>
      <c r="C6" s="24"/>
      <c r="D6" s="24">
        <v>1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37">
        <f t="shared" si="0"/>
        <v>1</v>
      </c>
      <c r="R6" s="3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/>
      <c r="AG6" s="4"/>
      <c r="AI6" s="4"/>
    </row>
    <row r="7" spans="1:35" s="2" customFormat="1" ht="25" customHeight="1" x14ac:dyDescent="0.2">
      <c r="A7" s="19">
        <v>5</v>
      </c>
      <c r="B7" s="20" t="s">
        <v>28</v>
      </c>
      <c r="C7" s="21"/>
      <c r="D7" s="21">
        <v>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39">
        <f t="shared" si="0"/>
        <v>1</v>
      </c>
      <c r="R7" s="3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4"/>
      <c r="AG7" s="4"/>
      <c r="AI7" s="4"/>
    </row>
    <row r="8" spans="1:35" s="2" customFormat="1" ht="25" customHeight="1" x14ac:dyDescent="0.2">
      <c r="A8" s="22">
        <v>6</v>
      </c>
      <c r="B8" s="23" t="s">
        <v>29</v>
      </c>
      <c r="C8" s="24"/>
      <c r="D8" s="24">
        <v>1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37">
        <f t="shared" si="0"/>
        <v>1</v>
      </c>
      <c r="R8" s="3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/>
      <c r="AG8" s="4"/>
      <c r="AI8" s="4"/>
    </row>
    <row r="9" spans="1:35" s="2" customFormat="1" ht="25" customHeight="1" x14ac:dyDescent="0.2">
      <c r="A9" s="19">
        <v>7</v>
      </c>
      <c r="B9" s="20" t="s">
        <v>30</v>
      </c>
      <c r="C9" s="21"/>
      <c r="D9" s="21">
        <v>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39">
        <f t="shared" si="0"/>
        <v>0</v>
      </c>
      <c r="R9" s="3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/>
      <c r="AG9" s="4"/>
      <c r="AI9" s="4"/>
    </row>
    <row r="10" spans="1:35" s="2" customFormat="1" ht="25" customHeight="1" x14ac:dyDescent="0.2">
      <c r="A10" s="22">
        <v>8</v>
      </c>
      <c r="B10" s="23" t="s">
        <v>31</v>
      </c>
      <c r="C10" s="24"/>
      <c r="D10" s="24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37">
        <f t="shared" si="0"/>
        <v>0</v>
      </c>
      <c r="R10" s="3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4"/>
      <c r="AG10" s="4"/>
      <c r="AI10" s="4"/>
    </row>
    <row r="11" spans="1:35" s="2" customFormat="1" ht="25" customHeight="1" x14ac:dyDescent="0.2">
      <c r="A11" s="19">
        <v>9</v>
      </c>
      <c r="B11" s="20" t="s">
        <v>32</v>
      </c>
      <c r="C11" s="21"/>
      <c r="D11" s="21">
        <v>1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39">
        <f t="shared" si="0"/>
        <v>1</v>
      </c>
      <c r="R11" s="38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/>
      <c r="AG11" s="4"/>
      <c r="AI11" s="4"/>
    </row>
    <row r="12" spans="1:35" s="2" customFormat="1" ht="25" customHeight="1" x14ac:dyDescent="0.2">
      <c r="A12" s="22">
        <v>10</v>
      </c>
      <c r="B12" s="23" t="s">
        <v>33</v>
      </c>
      <c r="C12" s="24"/>
      <c r="D12" s="24">
        <v>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37">
        <f t="shared" si="0"/>
        <v>1</v>
      </c>
      <c r="R12" s="3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/>
      <c r="AG12" s="4"/>
      <c r="AI12" s="4"/>
    </row>
    <row r="13" spans="1:35" s="2" customFormat="1" ht="25" customHeight="1" x14ac:dyDescent="0.2">
      <c r="A13" s="19">
        <v>11</v>
      </c>
      <c r="B13" s="20" t="s">
        <v>34</v>
      </c>
      <c r="C13" s="21"/>
      <c r="D13" s="21">
        <v>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39">
        <f t="shared" si="0"/>
        <v>1</v>
      </c>
      <c r="R13" s="38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/>
      <c r="AG13" s="4"/>
      <c r="AI13" s="4"/>
    </row>
    <row r="14" spans="1:35" s="2" customFormat="1" ht="25" customHeight="1" x14ac:dyDescent="0.2">
      <c r="A14" s="22">
        <v>12</v>
      </c>
      <c r="B14" s="23" t="s">
        <v>35</v>
      </c>
      <c r="C14" s="24"/>
      <c r="D14" s="24">
        <v>1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37">
        <f t="shared" si="0"/>
        <v>1</v>
      </c>
      <c r="R14" s="38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4"/>
      <c r="AG14" s="4"/>
      <c r="AI14" s="4"/>
    </row>
    <row r="15" spans="1:35" s="2" customFormat="1" ht="25" customHeight="1" x14ac:dyDescent="0.2">
      <c r="A15" s="19">
        <v>13</v>
      </c>
      <c r="B15" s="20" t="s">
        <v>36</v>
      </c>
      <c r="C15" s="21"/>
      <c r="D15" s="21">
        <v>1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39">
        <f t="shared" si="0"/>
        <v>1</v>
      </c>
      <c r="R15" s="38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4"/>
      <c r="AG15" s="4"/>
      <c r="AI15" s="4"/>
    </row>
    <row r="16" spans="1:35" s="2" customFormat="1" ht="25" customHeight="1" x14ac:dyDescent="0.2">
      <c r="A16" s="22">
        <v>14</v>
      </c>
      <c r="B16" s="23" t="s">
        <v>37</v>
      </c>
      <c r="C16" s="24"/>
      <c r="D16" s="24">
        <v>1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37">
        <f t="shared" si="0"/>
        <v>1</v>
      </c>
      <c r="R16" s="3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4"/>
      <c r="AG16" s="4"/>
      <c r="AI16" s="4"/>
    </row>
    <row r="17" spans="1:35" s="2" customFormat="1" ht="25" customHeight="1" x14ac:dyDescent="0.2">
      <c r="A17" s="19">
        <v>15</v>
      </c>
      <c r="B17" s="20" t="s">
        <v>38</v>
      </c>
      <c r="C17" s="21"/>
      <c r="D17" s="21">
        <v>1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39">
        <f t="shared" si="0"/>
        <v>1</v>
      </c>
      <c r="R17" s="38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4"/>
      <c r="AG17" s="4"/>
      <c r="AI17" s="4"/>
    </row>
    <row r="18" spans="1:35" s="2" customFormat="1" ht="25" customHeight="1" x14ac:dyDescent="0.2">
      <c r="A18" s="22">
        <v>16</v>
      </c>
      <c r="B18" s="23" t="s">
        <v>39</v>
      </c>
      <c r="C18" s="24"/>
      <c r="D18" s="24"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37">
        <f t="shared" si="0"/>
        <v>0</v>
      </c>
      <c r="R18" s="38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"/>
      <c r="AG18" s="4"/>
      <c r="AI18" s="4"/>
    </row>
    <row r="19" spans="1:35" s="2" customFormat="1" ht="25" customHeight="1" x14ac:dyDescent="0.2">
      <c r="A19" s="19">
        <v>17</v>
      </c>
      <c r="B19" s="20" t="s">
        <v>40</v>
      </c>
      <c r="C19" s="21"/>
      <c r="D19" s="21">
        <v>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39">
        <f t="shared" si="0"/>
        <v>0</v>
      </c>
      <c r="R19" s="3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4"/>
      <c r="AG19" s="4"/>
      <c r="AI19" s="4"/>
    </row>
    <row r="20" spans="1:35" s="2" customFormat="1" ht="25" customHeight="1" x14ac:dyDescent="0.2">
      <c r="A20" s="22">
        <v>18</v>
      </c>
      <c r="B20" s="23" t="s">
        <v>41</v>
      </c>
      <c r="C20" s="24"/>
      <c r="D20" s="24">
        <v>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37">
        <f t="shared" si="0"/>
        <v>1</v>
      </c>
      <c r="R20" s="3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"/>
      <c r="AG20" s="4"/>
      <c r="AI20" s="4"/>
    </row>
    <row r="21" spans="1:35" s="2" customFormat="1" ht="25" customHeight="1" x14ac:dyDescent="0.2">
      <c r="A21" s="19">
        <v>19</v>
      </c>
      <c r="B21" s="20" t="s">
        <v>42</v>
      </c>
      <c r="C21" s="21"/>
      <c r="D21" s="21">
        <v>1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39">
        <f t="shared" si="0"/>
        <v>1</v>
      </c>
      <c r="R21" s="38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4"/>
      <c r="AG21" s="4"/>
      <c r="AI21" s="4"/>
    </row>
    <row r="22" spans="1:35" s="2" customFormat="1" ht="25" customHeight="1" x14ac:dyDescent="0.2">
      <c r="A22" s="22">
        <v>20</v>
      </c>
      <c r="B22" s="23" t="s">
        <v>43</v>
      </c>
      <c r="C22" s="24"/>
      <c r="D22" s="24">
        <v>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7">
        <f t="shared" si="0"/>
        <v>1</v>
      </c>
      <c r="R22" s="38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4"/>
      <c r="AG22" s="4"/>
      <c r="AI22" s="4"/>
    </row>
    <row r="23" spans="1:35" s="2" customFormat="1" ht="25" customHeight="1" x14ac:dyDescent="0.2">
      <c r="A23" s="19">
        <v>21</v>
      </c>
      <c r="B23" s="20" t="s">
        <v>44</v>
      </c>
      <c r="C23" s="21"/>
      <c r="D23" s="21">
        <v>0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39">
        <f t="shared" si="0"/>
        <v>0</v>
      </c>
      <c r="R23" s="38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4"/>
      <c r="AG23" s="4"/>
      <c r="AI23" s="4"/>
    </row>
    <row r="24" spans="1:35" s="2" customFormat="1" ht="25" customHeight="1" x14ac:dyDescent="0.2">
      <c r="A24" s="22">
        <v>22</v>
      </c>
      <c r="B24" s="23" t="s">
        <v>45</v>
      </c>
      <c r="C24" s="24"/>
      <c r="D24" s="24">
        <v>1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37">
        <f t="shared" si="0"/>
        <v>1</v>
      </c>
      <c r="R24" s="3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/>
      <c r="AG24" s="4"/>
      <c r="AI24" s="4"/>
    </row>
    <row r="25" spans="1:35" s="2" customFormat="1" ht="25" customHeight="1" x14ac:dyDescent="0.2">
      <c r="A25" s="25">
        <v>23</v>
      </c>
      <c r="B25" s="26" t="s">
        <v>46</v>
      </c>
      <c r="C25" s="27"/>
      <c r="D25" s="27">
        <v>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40">
        <f t="shared" si="0"/>
        <v>0</v>
      </c>
      <c r="R25" s="41"/>
    </row>
    <row r="26" spans="1:35" s="2" customFormat="1" ht="25" customHeight="1" x14ac:dyDescent="0.2"/>
    <row r="27" spans="1:35" s="2" customFormat="1" ht="25" customHeight="1" x14ac:dyDescent="0.2"/>
    <row r="28" spans="1:35" s="2" customFormat="1" ht="25" customHeight="1" x14ac:dyDescent="0.2"/>
    <row r="29" spans="1:35" s="2" customFormat="1" ht="25" customHeight="1" x14ac:dyDescent="0.2"/>
    <row r="30" spans="1:35" s="2" customFormat="1" ht="25" customHeight="1" x14ac:dyDescent="0.2"/>
    <row r="31" spans="1:35" s="2" customFormat="1" ht="25" customHeight="1" x14ac:dyDescent="0.2"/>
    <row r="32" spans="1:35" s="2" customFormat="1" ht="25" customHeight="1" x14ac:dyDescent="0.2"/>
    <row r="33" s="2" customFormat="1" ht="25" customHeight="1" x14ac:dyDescent="0.2"/>
    <row r="34" s="2" customFormat="1" ht="25" customHeight="1" x14ac:dyDescent="0.2"/>
    <row r="35" s="2" customFormat="1" ht="25" customHeight="1" x14ac:dyDescent="0.2"/>
    <row r="36" s="2" customFormat="1" ht="25" customHeight="1" x14ac:dyDescent="0.2"/>
    <row r="37" s="2" customFormat="1" ht="25" customHeight="1" x14ac:dyDescent="0.2"/>
    <row r="38" s="2" customFormat="1" ht="25" customHeight="1" x14ac:dyDescent="0.2"/>
    <row r="39" s="2" customFormat="1" ht="25" customHeight="1" x14ac:dyDescent="0.2"/>
    <row r="40" s="2" customFormat="1" ht="25" customHeight="1" x14ac:dyDescent="0.2"/>
    <row r="41" s="2" customFormat="1" ht="25" customHeight="1" x14ac:dyDescent="0.2"/>
    <row r="42" s="2" customFormat="1" ht="25" customHeight="1" x14ac:dyDescent="0.2"/>
    <row r="43" s="2" customFormat="1" ht="25" customHeight="1" x14ac:dyDescent="0.2"/>
    <row r="44" s="2" customFormat="1" ht="25" customHeight="1" thickBot="1" x14ac:dyDescent="0.25"/>
  </sheetData>
  <mergeCells count="33">
    <mergeCell ref="A1:A2"/>
    <mergeCell ref="B1:B2"/>
    <mergeCell ref="Q10:R10"/>
    <mergeCell ref="Q14:R14"/>
    <mergeCell ref="Q19:R19"/>
    <mergeCell ref="Q4:R4"/>
    <mergeCell ref="Q15:R15"/>
    <mergeCell ref="Q6:R6"/>
    <mergeCell ref="Q9:R9"/>
    <mergeCell ref="I1:J1"/>
    <mergeCell ref="Q17:R17"/>
    <mergeCell ref="Q11:R11"/>
    <mergeCell ref="G1:H1"/>
    <mergeCell ref="Q1:R2"/>
    <mergeCell ref="M1:N1"/>
    <mergeCell ref="Q8:R8"/>
    <mergeCell ref="C1:D1"/>
    <mergeCell ref="E1:F1"/>
    <mergeCell ref="K1:L1"/>
    <mergeCell ref="O1:P1"/>
    <mergeCell ref="Q5:R5"/>
    <mergeCell ref="Q16:R16"/>
    <mergeCell ref="Q13:R13"/>
    <mergeCell ref="Q25:R25"/>
    <mergeCell ref="Q7:R7"/>
    <mergeCell ref="Q3:R3"/>
    <mergeCell ref="Q21:R21"/>
    <mergeCell ref="Q12:R12"/>
    <mergeCell ref="Q24:R24"/>
    <mergeCell ref="Q18:R18"/>
    <mergeCell ref="Q23:R23"/>
    <mergeCell ref="Q20:R20"/>
    <mergeCell ref="Q22:R22"/>
  </mergeCells>
  <printOptions horizontalCentered="1"/>
  <pageMargins left="0.3" right="0.3" top="0.3" bottom="0.3" header="0.3" footer="0.3"/>
  <pageSetup scale="41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xSplit="2" ySplit="2" topLeftCell="C3" activePane="bottomRight" state="frozen"/>
      <selection activeCell="E3" sqref="E3"/>
      <selection pane="topRight" activeCell="E3" sqref="E3"/>
      <selection pane="bottomLeft" activeCell="E3" sqref="E3"/>
      <selection pane="bottomRight" activeCell="E3" sqref="E3"/>
    </sheetView>
  </sheetViews>
  <sheetFormatPr baseColWidth="10" defaultColWidth="8.7109375" defaultRowHeight="16" x14ac:dyDescent="0.2"/>
  <cols>
    <col min="1" max="1" width="3.7109375" customWidth="1"/>
    <col min="2" max="2" width="49" customWidth="1"/>
    <col min="3" max="3" width="26.140625" customWidth="1"/>
    <col min="4" max="4" width="27.85546875" customWidth="1"/>
    <col min="5" max="5" width="26.140625" customWidth="1"/>
    <col min="6" max="6" width="28.140625" customWidth="1"/>
    <col min="7" max="7" width="28.42578125" customWidth="1"/>
    <col min="8" max="8" width="30" customWidth="1"/>
    <col min="9" max="9" width="29.85546875" customWidth="1"/>
    <col min="10" max="10" width="31.28515625" customWidth="1"/>
    <col min="11" max="11" width="29.85546875" customWidth="1"/>
    <col min="12" max="12" width="31.28515625" customWidth="1"/>
    <col min="13" max="13" width="29.85546875" customWidth="1"/>
    <col min="14" max="14" width="31.28515625" customWidth="1"/>
    <col min="15" max="15" width="32.42578125" customWidth="1"/>
    <col min="16" max="16" width="34" customWidth="1"/>
    <col min="17" max="18" width="12" customWidth="1"/>
  </cols>
  <sheetData>
    <row r="1" spans="1:18" ht="23" customHeight="1" x14ac:dyDescent="0.2">
      <c r="A1" s="50" t="s">
        <v>0</v>
      </c>
      <c r="B1" s="44" t="s">
        <v>1</v>
      </c>
      <c r="C1" s="42" t="s">
        <v>47</v>
      </c>
      <c r="D1" s="43"/>
      <c r="E1" s="42" t="s">
        <v>48</v>
      </c>
      <c r="F1" s="43"/>
      <c r="G1" s="42" t="s">
        <v>49</v>
      </c>
      <c r="H1" s="43"/>
      <c r="I1" s="42" t="s">
        <v>50</v>
      </c>
      <c r="J1" s="43"/>
      <c r="K1" s="42" t="s">
        <v>51</v>
      </c>
      <c r="L1" s="43"/>
      <c r="M1" s="42" t="s">
        <v>52</v>
      </c>
      <c r="N1" s="43"/>
      <c r="O1" s="42" t="s">
        <v>53</v>
      </c>
      <c r="P1" s="43"/>
      <c r="Q1" s="46" t="s">
        <v>54</v>
      </c>
      <c r="R1" s="47"/>
    </row>
    <row r="2" spans="1:18" ht="33" customHeight="1" x14ac:dyDescent="0.2">
      <c r="A2" s="51"/>
      <c r="B2" s="45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48"/>
      <c r="R2" s="49"/>
    </row>
    <row r="3" spans="1:18" ht="25" customHeight="1" x14ac:dyDescent="0.2">
      <c r="A3" s="19">
        <v>1</v>
      </c>
      <c r="B3" s="20" t="s">
        <v>24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39">
        <f t="shared" ref="Q3:Q25" si="0">SUMPRODUCT((C3:P3=1)*1+(C3:P3=2)*0.75+(C3:P3=3)*0.69+(C3:P3=4)*0.63)</f>
        <v>0</v>
      </c>
      <c r="R3" s="38"/>
    </row>
    <row r="4" spans="1:18" ht="25" customHeight="1" x14ac:dyDescent="0.2">
      <c r="A4" s="22">
        <v>2</v>
      </c>
      <c r="B4" s="23" t="s">
        <v>25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37">
        <f t="shared" si="0"/>
        <v>0</v>
      </c>
      <c r="R4" s="38"/>
    </row>
    <row r="5" spans="1:18" ht="25" customHeight="1" x14ac:dyDescent="0.2">
      <c r="A5" s="19">
        <v>3</v>
      </c>
      <c r="B5" s="20" t="s">
        <v>26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39">
        <f t="shared" si="0"/>
        <v>0</v>
      </c>
      <c r="R5" s="38"/>
    </row>
    <row r="6" spans="1:18" ht="25" customHeight="1" x14ac:dyDescent="0.2">
      <c r="A6" s="22">
        <v>4</v>
      </c>
      <c r="B6" s="23" t="s">
        <v>27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37">
        <f t="shared" si="0"/>
        <v>0</v>
      </c>
      <c r="R6" s="38"/>
    </row>
    <row r="7" spans="1:18" ht="25" customHeight="1" x14ac:dyDescent="0.2">
      <c r="A7" s="19">
        <v>5</v>
      </c>
      <c r="B7" s="20" t="s">
        <v>28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39">
        <f t="shared" si="0"/>
        <v>0</v>
      </c>
      <c r="R7" s="38"/>
    </row>
    <row r="8" spans="1:18" ht="25" customHeight="1" x14ac:dyDescent="0.2">
      <c r="A8" s="22">
        <v>6</v>
      </c>
      <c r="B8" s="23" t="s">
        <v>29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37">
        <f t="shared" si="0"/>
        <v>0</v>
      </c>
      <c r="R8" s="38"/>
    </row>
    <row r="9" spans="1:18" ht="25" customHeight="1" x14ac:dyDescent="0.2">
      <c r="A9" s="19">
        <v>7</v>
      </c>
      <c r="B9" s="20" t="s">
        <v>30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39">
        <f t="shared" si="0"/>
        <v>0</v>
      </c>
      <c r="R9" s="38"/>
    </row>
    <row r="10" spans="1:18" ht="25" customHeight="1" x14ac:dyDescent="0.2">
      <c r="A10" s="22">
        <v>8</v>
      </c>
      <c r="B10" s="23" t="s">
        <v>31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37">
        <f t="shared" si="0"/>
        <v>0</v>
      </c>
      <c r="R10" s="38"/>
    </row>
    <row r="11" spans="1:18" ht="25" customHeight="1" x14ac:dyDescent="0.2">
      <c r="A11" s="19">
        <v>9</v>
      </c>
      <c r="B11" s="20" t="s">
        <v>32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39">
        <f t="shared" si="0"/>
        <v>0</v>
      </c>
      <c r="R11" s="38"/>
    </row>
    <row r="12" spans="1:18" ht="25" customHeight="1" x14ac:dyDescent="0.2">
      <c r="A12" s="22">
        <v>10</v>
      </c>
      <c r="B12" s="23" t="s">
        <v>33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37">
        <f t="shared" si="0"/>
        <v>0</v>
      </c>
      <c r="R12" s="38"/>
    </row>
    <row r="13" spans="1:18" ht="25" customHeight="1" x14ac:dyDescent="0.2">
      <c r="A13" s="19">
        <v>11</v>
      </c>
      <c r="B13" s="20" t="s">
        <v>34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39">
        <f t="shared" si="0"/>
        <v>0</v>
      </c>
      <c r="R13" s="38"/>
    </row>
    <row r="14" spans="1:18" ht="25" customHeight="1" x14ac:dyDescent="0.2">
      <c r="A14" s="22">
        <v>12</v>
      </c>
      <c r="B14" s="23" t="s">
        <v>35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37">
        <f t="shared" si="0"/>
        <v>0</v>
      </c>
      <c r="R14" s="38"/>
    </row>
    <row r="15" spans="1:18" ht="25" customHeight="1" x14ac:dyDescent="0.2">
      <c r="A15" s="19">
        <v>13</v>
      </c>
      <c r="B15" s="20" t="s">
        <v>36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39">
        <f t="shared" si="0"/>
        <v>0</v>
      </c>
      <c r="R15" s="38"/>
    </row>
    <row r="16" spans="1:18" ht="25" customHeight="1" x14ac:dyDescent="0.2">
      <c r="A16" s="22">
        <v>14</v>
      </c>
      <c r="B16" s="23" t="s">
        <v>37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37">
        <f t="shared" si="0"/>
        <v>0</v>
      </c>
      <c r="R16" s="38"/>
    </row>
    <row r="17" spans="1:18" ht="25" customHeight="1" x14ac:dyDescent="0.2">
      <c r="A17" s="19">
        <v>15</v>
      </c>
      <c r="B17" s="20" t="s">
        <v>38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39">
        <f t="shared" si="0"/>
        <v>0</v>
      </c>
      <c r="R17" s="38"/>
    </row>
    <row r="18" spans="1:18" ht="25" customHeight="1" x14ac:dyDescent="0.2">
      <c r="A18" s="22">
        <v>16</v>
      </c>
      <c r="B18" s="23" t="s">
        <v>39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37">
        <f t="shared" si="0"/>
        <v>0</v>
      </c>
      <c r="R18" s="38"/>
    </row>
    <row r="19" spans="1:18" ht="25" customHeight="1" x14ac:dyDescent="0.2">
      <c r="A19" s="19">
        <v>17</v>
      </c>
      <c r="B19" s="20" t="s">
        <v>40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39">
        <f t="shared" si="0"/>
        <v>0</v>
      </c>
      <c r="R19" s="38"/>
    </row>
    <row r="20" spans="1:18" ht="25" customHeight="1" x14ac:dyDescent="0.2">
      <c r="A20" s="22">
        <v>18</v>
      </c>
      <c r="B20" s="23" t="s">
        <v>41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37">
        <f t="shared" si="0"/>
        <v>0</v>
      </c>
      <c r="R20" s="38"/>
    </row>
    <row r="21" spans="1:18" ht="25" customHeight="1" x14ac:dyDescent="0.2">
      <c r="A21" s="19">
        <v>19</v>
      </c>
      <c r="B21" s="20" t="s">
        <v>42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39">
        <f t="shared" si="0"/>
        <v>0</v>
      </c>
      <c r="R21" s="38"/>
    </row>
    <row r="22" spans="1:18" ht="25" customHeight="1" x14ac:dyDescent="0.2">
      <c r="A22" s="22">
        <v>20</v>
      </c>
      <c r="B22" s="23" t="s">
        <v>43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7">
        <f t="shared" si="0"/>
        <v>0</v>
      </c>
      <c r="R22" s="38"/>
    </row>
    <row r="23" spans="1:18" ht="25" customHeight="1" x14ac:dyDescent="0.2">
      <c r="A23" s="19">
        <v>21</v>
      </c>
      <c r="B23" s="20" t="s">
        <v>44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39">
        <f t="shared" si="0"/>
        <v>0</v>
      </c>
      <c r="R23" s="38"/>
    </row>
    <row r="24" spans="1:18" ht="25" customHeight="1" x14ac:dyDescent="0.2">
      <c r="A24" s="22">
        <v>22</v>
      </c>
      <c r="B24" s="23" t="s">
        <v>45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37">
        <f t="shared" si="0"/>
        <v>0</v>
      </c>
      <c r="R24" s="38"/>
    </row>
    <row r="25" spans="1:18" ht="25" customHeight="1" x14ac:dyDescent="0.2">
      <c r="A25" s="25">
        <v>23</v>
      </c>
      <c r="B25" s="26" t="s">
        <v>46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40">
        <f t="shared" si="0"/>
        <v>0</v>
      </c>
      <c r="R25" s="41"/>
    </row>
  </sheetData>
  <mergeCells count="33">
    <mergeCell ref="A1:A2"/>
    <mergeCell ref="B1:B2"/>
    <mergeCell ref="Q10:R10"/>
    <mergeCell ref="Q14:R14"/>
    <mergeCell ref="Q19:R19"/>
    <mergeCell ref="Q4:R4"/>
    <mergeCell ref="Q15:R15"/>
    <mergeCell ref="Q6:R6"/>
    <mergeCell ref="Q9:R9"/>
    <mergeCell ref="I1:J1"/>
    <mergeCell ref="Q17:R17"/>
    <mergeCell ref="Q11:R11"/>
    <mergeCell ref="G1:H1"/>
    <mergeCell ref="Q1:R2"/>
    <mergeCell ref="M1:N1"/>
    <mergeCell ref="Q8:R8"/>
    <mergeCell ref="C1:D1"/>
    <mergeCell ref="E1:F1"/>
    <mergeCell ref="K1:L1"/>
    <mergeCell ref="O1:P1"/>
    <mergeCell ref="Q5:R5"/>
    <mergeCell ref="Q16:R16"/>
    <mergeCell ref="Q13:R13"/>
    <mergeCell ref="Q25:R25"/>
    <mergeCell ref="Q7:R7"/>
    <mergeCell ref="Q3:R3"/>
    <mergeCell ref="Q21:R21"/>
    <mergeCell ref="Q12:R12"/>
    <mergeCell ref="Q24:R24"/>
    <mergeCell ref="Q18:R18"/>
    <mergeCell ref="Q23:R23"/>
    <mergeCell ref="Q20:R20"/>
    <mergeCell ref="Q22:R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all</vt:lpstr>
      <vt:lpstr>midterms</vt:lpstr>
      <vt:lpstr>finals</vt:lpstr>
      <vt:lpstr>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Mesa, Avyl Mourei</dc:creator>
  <cp:lastModifiedBy>administrator</cp:lastModifiedBy>
  <cp:lastPrinted>2025-07-28T05:06:42Z</cp:lastPrinted>
  <dcterms:created xsi:type="dcterms:W3CDTF">2025-07-28T00:18:15Z</dcterms:created>
  <dcterms:modified xsi:type="dcterms:W3CDTF">2026-07-20T05:16:17Z</dcterms:modified>
</cp:coreProperties>
</file>