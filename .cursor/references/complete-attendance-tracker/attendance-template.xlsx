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midterms" sheetId="1" state="visible" r:id="rId1"/>
    <sheet xmlns:r="http://schemas.openxmlformats.org/officeDocument/2006/relationships" name="finals" sheetId="2" state="visible" r:id="rId2"/>
    <sheet xmlns:r="http://schemas.openxmlformats.org/officeDocument/2006/relationships" name="all" sheetId="3" state="visible" r:id="rId3"/>
    <sheet xmlns:r="http://schemas.openxmlformats.org/officeDocument/2006/relationships" name="summary" sheetId="4" state="visible" r:id="rId4"/>
  </sheets>
  <definedNames>
    <definedName name="_xlnm.Print_Area" localSheetId="2">'all'!$A$1:$P$44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Arial"/>
      <sz val="12"/>
    </font>
    <font>
      <name val="Arial"/>
      <family val="2"/>
      <color theme="1"/>
      <sz val="12"/>
    </font>
    <font>
      <name val="Arial"/>
      <family val="2"/>
      <color rgb="FF000000"/>
      <sz val="12"/>
    </font>
    <font>
      <name val="Arial"/>
      <family val="2"/>
      <b val="1"/>
      <color theme="1"/>
      <sz val="16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theme="0"/>
      <sz val="16"/>
    </font>
    <font>
      <name val="Arial"/>
      <b val="1"/>
      <sz val="16"/>
    </font>
    <font>
      <name val="Arial"/>
      <sz val="12"/>
    </font>
    <font>
      <name val="Arial"/>
      <color rgb="FF000000"/>
      <sz val="12"/>
    </font>
    <font>
      <name val="Arial"/>
      <b val="1"/>
      <sz val="18"/>
    </font>
    <font>
      <name val="Arial"/>
      <i val="1"/>
      <sz val="10"/>
    </font>
    <font>
      <name val="Arial"/>
      <b val="1"/>
      <sz val="12"/>
    </font>
    <font>
      <name val="Arial"/>
      <sz val="11"/>
    </font>
    <font>
      <name val="Arial"/>
      <b val="1"/>
      <sz val="11"/>
    </font>
    <font>
      <name val="Arial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thin"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/>
      <right/>
      <top style="thin"/>
      <bottom style="thin"/>
      <diagonal/>
    </border>
  </borders>
  <cellStyleXfs count="1">
    <xf numFmtId="0" fontId="8" fillId="0" borderId="0"/>
  </cellStyleXfs>
  <cellXfs count="107">
    <xf numFmtId="0" fontId="0" fillId="0" borderId="0" pivotButton="0" quotePrefix="0" xfId="0"/>
    <xf numFmtId="0" fontId="1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2" fillId="4" borderId="10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4" borderId="5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2" fillId="4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4" fillId="2" borderId="11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0" fillId="0" borderId="19" pivotButton="0" quotePrefix="0" xfId="0"/>
    <xf numFmtId="0" fontId="7" fillId="6" borderId="28" applyAlignment="1" pivotButton="0" quotePrefix="0" xfId="0">
      <alignment horizontal="center" vertical="center" wrapText="1"/>
    </xf>
    <xf numFmtId="0" fontId="0" fillId="6" borderId="2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2" pivotButton="0" quotePrefix="0" xfId="0"/>
    <xf numFmtId="2" fontId="8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2" fontId="8" fillId="4" borderId="2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0" fontId="7" fillId="7" borderId="39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5" pivotButton="0" quotePrefix="0" xfId="0"/>
    <xf numFmtId="0" fontId="8" fillId="2" borderId="29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8" pivotButton="0" quotePrefix="0" xfId="0"/>
    <xf numFmtId="0" fontId="8" fillId="0" borderId="48" applyAlignment="1" pivotButton="0" quotePrefix="0" xfId="0">
      <alignment horizontal="center" vertical="center"/>
    </xf>
    <xf numFmtId="0" fontId="9" fillId="0" borderId="49" applyAlignment="1" pivotButton="0" quotePrefix="0" xfId="0">
      <alignment vertical="center"/>
    </xf>
    <xf numFmtId="0" fontId="8" fillId="0" borderId="29" applyAlignment="1" applyProtection="1" pivotButton="0" quotePrefix="0" xfId="0">
      <alignment horizontal="center" vertical="center"/>
      <protection locked="0" hidden="0"/>
    </xf>
    <xf numFmtId="0" fontId="0" fillId="0" borderId="32" pivotButton="0" quotePrefix="0" xfId="0"/>
    <xf numFmtId="0" fontId="8" fillId="4" borderId="48" applyAlignment="1" pivotButton="0" quotePrefix="0" xfId="0">
      <alignment horizontal="center" vertical="center"/>
    </xf>
    <xf numFmtId="0" fontId="9" fillId="4" borderId="49" applyAlignment="1" pivotButton="0" quotePrefix="0" xfId="0">
      <alignment vertical="center"/>
    </xf>
    <xf numFmtId="0" fontId="8" fillId="4" borderId="29" applyAlignment="1" applyProtection="1" pivotButton="0" quotePrefix="0" xfId="0">
      <alignment horizontal="center" vertical="center"/>
      <protection locked="0" hidden="0"/>
    </xf>
    <xf numFmtId="0" fontId="8" fillId="0" borderId="29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0" fontId="8" fillId="4" borderId="29" applyAlignment="1" pivotButton="0" quotePrefix="0" xfId="0">
      <alignment horizontal="center" vertical="center"/>
    </xf>
    <xf numFmtId="0" fontId="7" fillId="0" borderId="39" applyAlignment="1" applyProtection="1" pivotButton="0" quotePrefix="0" xfId="0">
      <alignment horizontal="center" vertical="center" wrapText="1"/>
      <protection locked="0" hidden="0"/>
    </xf>
    <xf numFmtId="0" fontId="7" fillId="0" borderId="40" applyAlignment="1" applyProtection="1" pivotButton="0" quotePrefix="0" xfId="0">
      <alignment horizontal="center" vertical="center" wrapText="1"/>
      <protection locked="0" hidden="0"/>
    </xf>
    <xf numFmtId="0" fontId="7" fillId="7" borderId="39" applyAlignment="1" applyProtection="1" pivotButton="0" quotePrefix="0" xfId="0">
      <alignment horizontal="center" vertical="center" wrapText="1"/>
      <protection locked="0" hidden="0"/>
    </xf>
    <xf numFmtId="0" fontId="7" fillId="7" borderId="40" applyAlignment="1" applyProtection="1" pivotButton="0" quotePrefix="0" xfId="0">
      <alignment horizontal="center" vertical="center" wrapText="1"/>
      <protection locked="0" hidden="0"/>
    </xf>
    <xf numFmtId="0" fontId="7" fillId="6" borderId="28" applyAlignment="1" applyProtection="1" pivotButton="0" quotePrefix="0" xfId="0">
      <alignment horizontal="center" vertical="center" wrapText="1"/>
      <protection locked="0" hidden="0"/>
    </xf>
    <xf numFmtId="0" fontId="8" fillId="2" borderId="29" applyAlignment="1" applyProtection="1" pivotButton="0" quotePrefix="0" xfId="0">
      <alignment horizontal="center" vertical="center" wrapText="1"/>
      <protection locked="0" hidden="0"/>
    </xf>
    <xf numFmtId="0" fontId="8" fillId="0" borderId="48" applyAlignment="1" applyProtection="1" pivotButton="0" quotePrefix="0" xfId="0">
      <alignment horizontal="center" vertical="center"/>
      <protection locked="0" hidden="0"/>
    </xf>
    <xf numFmtId="0" fontId="9" fillId="0" borderId="49" applyAlignment="1" applyProtection="1" pivotButton="0" quotePrefix="0" xfId="0">
      <alignment vertical="center"/>
      <protection locked="0" hidden="0"/>
    </xf>
    <xf numFmtId="2" fontId="8" fillId="0" borderId="29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0" hidden="0"/>
    </xf>
    <xf numFmtId="0" fontId="8" fillId="4" borderId="48" applyAlignment="1" applyProtection="1" pivotButton="0" quotePrefix="0" xfId="0">
      <alignment horizontal="center" vertical="center"/>
      <protection locked="0" hidden="0"/>
    </xf>
    <xf numFmtId="0" fontId="9" fillId="4" borderId="49" applyAlignment="1" applyProtection="1" pivotButton="0" quotePrefix="0" xfId="0">
      <alignment vertical="center"/>
      <protection locked="0" hidden="0"/>
    </xf>
    <xf numFmtId="2" fontId="8" fillId="4" borderId="29" applyAlignment="1" applyProtection="1" pivotButton="0" quotePrefix="0" xfId="0">
      <alignment horizontal="center" vertical="center"/>
      <protection locked="0" hidden="0"/>
    </xf>
    <xf numFmtId="0" fontId="8" fillId="0" borderId="29" applyAlignment="1" applyProtection="1" pivotButton="0" quotePrefix="0" xfId="0">
      <alignment horizontal="center" vertical="center" wrapText="1"/>
      <protection locked="0" hidden="0"/>
    </xf>
    <xf numFmtId="0" fontId="3" fillId="0" borderId="15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 wrapText="1"/>
    </xf>
    <xf numFmtId="0" fontId="0" fillId="0" borderId="42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8" fillId="8" borderId="29" applyAlignment="1" applyProtection="1" pivotButton="0" quotePrefix="0" xfId="0">
      <alignment horizontal="center" vertical="center" wrapText="1"/>
      <protection locked="0" hidden="0"/>
    </xf>
    <xf numFmtId="0" fontId="4" fillId="0" borderId="16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32" applyProtection="1" pivotButton="0" quotePrefix="0" xfId="0">
      <protection locked="0" hidden="0"/>
    </xf>
    <xf numFmtId="0" fontId="7" fillId="0" borderId="42" applyProtection="1" pivotButton="0" quotePrefix="0" xfId="0">
      <protection locked="0" hidden="0"/>
    </xf>
    <xf numFmtId="0" fontId="7" fillId="0" borderId="45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6" borderId="0" pivotButton="0" quotePrefix="0" xfId="0"/>
    <xf numFmtId="0" fontId="12" fillId="8" borderId="29" pivotButton="0" quotePrefix="0" xfId="0"/>
    <xf numFmtId="0" fontId="13" fillId="0" borderId="29" applyAlignment="1" pivotButton="0" quotePrefix="0" xfId="0">
      <alignment horizontal="left" vertical="center" wrapText="1"/>
    </xf>
    <xf numFmtId="0" fontId="0" fillId="0" borderId="50" pivotButton="0" quotePrefix="0" xfId="0"/>
    <xf numFmtId="164" fontId="13" fillId="0" borderId="29" applyAlignment="1" pivotButton="0" quotePrefix="0" xfId="0">
      <alignment horizontal="left" vertical="center" wrapText="1"/>
    </xf>
    <xf numFmtId="0" fontId="11" fillId="0" borderId="29" applyAlignment="1" pivotButton="0" quotePrefix="0" xfId="0">
      <alignment horizontal="left" vertical="center" wrapText="1"/>
    </xf>
    <xf numFmtId="0" fontId="12" fillId="7" borderId="0" pivotButton="0" quotePrefix="0" xfId="0"/>
    <xf numFmtId="0" fontId="14" fillId="8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164" fontId="13" fillId="0" borderId="29" applyAlignment="1" pivotButton="0" quotePrefix="0" xfId="0">
      <alignment horizontal="center" vertical="center" wrapText="1"/>
    </xf>
    <xf numFmtId="0" fontId="13" fillId="4" borderId="29" applyAlignment="1" pivotButton="0" quotePrefix="0" xfId="0">
      <alignment horizontal="center" vertical="center" wrapText="1"/>
    </xf>
    <xf numFmtId="0" fontId="13" fillId="4" borderId="29" applyAlignment="1" pivotButton="0" quotePrefix="0" xfId="0">
      <alignment horizontal="left" vertical="center" wrapText="1"/>
    </xf>
    <xf numFmtId="164" fontId="13" fillId="4" borderId="29" applyAlignment="1" pivotButton="0" quotePrefix="0" xfId="0">
      <alignment horizontal="center" vertical="center" wrapText="1"/>
    </xf>
    <xf numFmtId="0" fontId="12" fillId="9" borderId="0" pivotButton="0" quotePrefix="0" xfId="0"/>
    <xf numFmtId="0" fontId="15" fillId="0" borderId="29" applyAlignment="1" pivotButton="0" quotePrefix="0" xfId="0">
      <alignment horizontal="left" vertical="center" wrapText="1"/>
    </xf>
    <xf numFmtId="0" fontId="15" fillId="4" borderId="29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45"/>
  <sheetViews>
    <sheetView tabSelected="1" zoomScale="10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C1" sqref="C1"/>
      <selection pane="bottomLeft" activeCell="A3" sqref="A3"/>
      <selection pane="bottomRight" activeCell="D12" sqref="D12"/>
    </sheetView>
  </sheetViews>
  <sheetFormatPr baseColWidth="10" defaultRowHeight="16"/>
  <cols>
    <col width="3.6640625" bestFit="1" customWidth="1" min="1" max="1"/>
    <col width="49" bestFit="1" customWidth="1" min="2" max="2"/>
    <col width="26.1640625" bestFit="1" customWidth="1" min="3" max="3"/>
    <col width="27.83203125" bestFit="1" customWidth="1" min="4" max="4"/>
    <col width="26.1640625" bestFit="1" customWidth="1" min="5" max="5"/>
    <col width="28.1640625" bestFit="1" customWidth="1" min="6" max="6"/>
    <col width="28.5" bestFit="1" customWidth="1" min="7" max="7"/>
    <col width="30" bestFit="1" customWidth="1" min="8" max="8"/>
    <col width="29.83203125" bestFit="1" customWidth="1" min="9" max="9"/>
    <col width="31.33203125" bestFit="1" customWidth="1" min="10" max="10"/>
    <col width="29.83203125" customWidth="1" min="11" max="11"/>
    <col width="31.33203125" customWidth="1" min="12" max="12"/>
    <col width="29.83203125" customWidth="1" min="13" max="13"/>
    <col width="31.33203125" customWidth="1" min="14" max="14"/>
    <col width="32.5" customWidth="1" min="15" max="15"/>
    <col width="34" customWidth="1" min="16" max="16"/>
    <col width="12" customWidth="1" min="17" max="17"/>
    <col width="12" customWidth="1" min="18" max="18"/>
  </cols>
  <sheetData>
    <row r="1" ht="23" customHeight="1">
      <c r="A1" s="61" t="inlineStr">
        <is>
          <t>#</t>
        </is>
      </c>
      <c r="B1" s="62" t="inlineStr">
        <is>
          <t>Student Name</t>
        </is>
      </c>
      <c r="C1" s="63" t="inlineStr">
        <is>
          <t>Week 1</t>
        </is>
      </c>
      <c r="D1" s="85" t="n"/>
      <c r="E1" s="63" t="inlineStr">
        <is>
          <t>Week 2</t>
        </is>
      </c>
      <c r="F1" s="85" t="n"/>
      <c r="G1" s="63" t="inlineStr">
        <is>
          <t>Week 3</t>
        </is>
      </c>
      <c r="H1" s="85" t="n"/>
      <c r="I1" s="63" t="inlineStr">
        <is>
          <t>Week 4</t>
        </is>
      </c>
      <c r="J1" s="85" t="n"/>
      <c r="K1" s="63" t="inlineStr">
        <is>
          <t>Week 5</t>
        </is>
      </c>
      <c r="L1" s="85" t="n"/>
      <c r="M1" s="63" t="inlineStr">
        <is>
          <t>Week 6</t>
        </is>
      </c>
      <c r="N1" s="85" t="n"/>
      <c r="O1" s="63" t="inlineStr">
        <is>
          <t>Week 7</t>
        </is>
      </c>
      <c r="P1" s="85" t="n"/>
      <c r="Q1" s="65" t="inlineStr">
        <is>
          <t>MIDTERM</t>
        </is>
      </c>
      <c r="R1" s="86" t="n"/>
      <c r="S1" s="75" t="n"/>
      <c r="U1" s="75" t="n"/>
      <c r="W1" s="75" t="n"/>
      <c r="Y1" s="75" t="n"/>
      <c r="AA1" s="75" t="n"/>
      <c r="AC1" s="75" t="n"/>
      <c r="AE1" s="76" t="n"/>
      <c r="AG1" s="76" t="n"/>
      <c r="AI1" s="76" t="n"/>
    </row>
    <row r="2" ht="33" customHeight="1" thickBot="1">
      <c r="A2" s="77" t="n"/>
      <c r="B2" s="78" t="n"/>
      <c r="C2" s="66" t="inlineStr">
        <is>
          <t>Monday, July 21, 2025</t>
        </is>
      </c>
      <c r="D2" s="66" t="inlineStr">
        <is>
          <t>Thursday, July 24, 2025</t>
        </is>
      </c>
      <c r="E2" s="66" t="inlineStr">
        <is>
          <t>Monday, July 28, 2025</t>
        </is>
      </c>
      <c r="F2" s="66" t="inlineStr">
        <is>
          <t xml:space="preserve">	Thursday, July 31, 2025</t>
        </is>
      </c>
      <c r="G2" s="66" t="inlineStr">
        <is>
          <t>Monday, August 4, 2025</t>
        </is>
      </c>
      <c r="H2" s="66" t="inlineStr">
        <is>
          <t>Thursday, August 7, 2025</t>
        </is>
      </c>
      <c r="I2" s="66" t="inlineStr">
        <is>
          <t>Monday, August 11, 2025</t>
        </is>
      </c>
      <c r="J2" s="66" t="inlineStr">
        <is>
          <t>Thursday, August 14, 2025</t>
        </is>
      </c>
      <c r="K2" s="66" t="inlineStr">
        <is>
          <t>Monday, August 18, 2025</t>
        </is>
      </c>
      <c r="L2" s="66" t="inlineStr">
        <is>
          <t>Thursday, August 21, 2025</t>
        </is>
      </c>
      <c r="M2" s="66" t="inlineStr">
        <is>
          <t>Monday, August 25, 2025</t>
        </is>
      </c>
      <c r="N2" s="66" t="inlineStr">
        <is>
          <t>Thursday, August 28, 2025</t>
        </is>
      </c>
      <c r="O2" s="66" t="inlineStr">
        <is>
          <t>Monday, September 1, 2025</t>
        </is>
      </c>
      <c r="P2" s="66" t="inlineStr">
        <is>
          <t>Thursday, September 4, 2025</t>
        </is>
      </c>
      <c r="Q2" s="87" t="n"/>
      <c r="R2" s="88" t="n"/>
      <c r="S2" s="80" t="n"/>
      <c r="T2" s="80" t="n"/>
      <c r="U2" s="80" t="n"/>
      <c r="V2" s="80" t="n"/>
      <c r="W2" s="80" t="n"/>
      <c r="X2" s="80" t="n"/>
      <c r="Y2" s="80" t="n"/>
      <c r="Z2" s="80" t="n"/>
      <c r="AA2" s="80" t="n"/>
      <c r="AB2" s="80" t="n"/>
      <c r="AC2" s="80" t="n"/>
      <c r="AD2" s="81" t="n"/>
    </row>
    <row r="3" ht="25" customFormat="1" customHeight="1" s="5">
      <c r="A3" s="67" t="n">
        <v>1</v>
      </c>
      <c r="B3" s="68" t="inlineStr">
        <is>
          <t>ABIERA, KIRK HAMMETT GILBUENA</t>
        </is>
      </c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69">
        <f>SUMPRODUCT((C3:P3=1)*1+(C3:P3=2)*0.75+(C3:P3=3)*0.69+(C3:P3=4)*0.63)</f>
        <v/>
      </c>
      <c r="R3" s="82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38" t="n"/>
      <c r="AG3" s="38" t="n"/>
      <c r="AI3" s="38" t="n"/>
    </row>
    <row r="4" ht="25" customFormat="1" customHeight="1" s="5">
      <c r="A4" s="71" t="n">
        <v>2</v>
      </c>
      <c r="B4" s="72" t="inlineStr">
        <is>
          <t>AGALOOS, IVAN BENEDICT VILLAMOR</t>
        </is>
      </c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73">
        <f>SUMPRODUCT((C4:P4=1)*1+(C4:P4=2)*0.75+(C4:P4=3)*0.69+(C4:P4=4)*0.63)</f>
        <v/>
      </c>
      <c r="R4" s="82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38" t="n"/>
      <c r="AG4" s="38" t="n"/>
      <c r="AI4" s="38" t="n"/>
    </row>
    <row r="5" ht="25" customFormat="1" customHeight="1" s="5">
      <c r="A5" s="67" t="n">
        <v>3</v>
      </c>
      <c r="B5" s="68" t="inlineStr">
        <is>
          <t>AGTAGUEM, AL-JOHN ANTE</t>
        </is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69">
        <f>SUMPRODUCT((C5:P5=1)*1+(C5:P5=2)*0.75+(C5:P5=3)*0.69+(C5:P5=4)*0.63)</f>
        <v/>
      </c>
      <c r="R5" s="82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38" t="n"/>
      <c r="AG5" s="38" t="n"/>
      <c r="AI5" s="38" t="n"/>
    </row>
    <row r="6" ht="25" customFormat="1" customHeight="1" s="5">
      <c r="A6" s="71" t="n">
        <v>4</v>
      </c>
      <c r="B6" s="72" t="inlineStr">
        <is>
          <t>AGUILAR, ANGELICA DE LEON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73">
        <f>SUMPRODUCT((C6:P6=1)*1+(C6:P6=2)*0.75+(C6:P6=3)*0.69+(C6:P6=4)*0.63)</f>
        <v/>
      </c>
      <c r="R6" s="82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38" t="n"/>
      <c r="AG6" s="38" t="n"/>
      <c r="AI6" s="38" t="n"/>
    </row>
    <row r="7" ht="25" customFormat="1" customHeight="1" s="5">
      <c r="A7" s="67" t="n">
        <v>5</v>
      </c>
      <c r="B7" s="68" t="inlineStr">
        <is>
          <t>ALCANTARA, RHEINARD JOHN OLAES</t>
        </is>
      </c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69">
        <f>SUMPRODUCT((C7:P7=1)*1+(C7:P7=2)*0.75+(C7:P7=3)*0.69+(C7:P7=4)*0.63)</f>
        <v/>
      </c>
      <c r="R7" s="82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38" t="n"/>
      <c r="AG7" s="38" t="n"/>
      <c r="AI7" s="38" t="n"/>
    </row>
    <row r="8" ht="25" customFormat="1" customHeight="1" s="5">
      <c r="A8" s="71" t="n">
        <v>6</v>
      </c>
      <c r="B8" s="72" t="inlineStr">
        <is>
          <t>ALEJANDRE, ROMEL JOHN LLAPITAN</t>
        </is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73">
        <f>SUMPRODUCT((C8:P8=1)*1+(C8:P8=2)*0.75+(C8:P8=3)*0.69+(C8:P8=4)*0.63)</f>
        <v/>
      </c>
      <c r="R8" s="82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38" t="n"/>
      <c r="AG8" s="38" t="n"/>
      <c r="AI8" s="38" t="n"/>
    </row>
    <row r="9" ht="25" customFormat="1" customHeight="1" s="5">
      <c r="A9" s="67" t="n">
        <v>7</v>
      </c>
      <c r="B9" s="68" t="inlineStr">
        <is>
          <t>ALMERIA, JAE MARK LEGARIO</t>
        </is>
      </c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69">
        <f>SUMPRODUCT((C9:P9=1)*1+(C9:P9=2)*0.75+(C9:P9=3)*0.69+(C9:P9=4)*0.63)</f>
        <v/>
      </c>
      <c r="R9" s="82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38" t="n"/>
      <c r="AG9" s="38" t="n"/>
      <c r="AI9" s="38" t="n"/>
    </row>
    <row r="10" ht="25" customFormat="1" customHeight="1" s="5">
      <c r="A10" s="71" t="n">
        <v>8</v>
      </c>
      <c r="B10" s="72" t="inlineStr">
        <is>
          <t>ALOP, VINCE POCHOLO ALCANTARA</t>
        </is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73">
        <f>SUMPRODUCT((C10:P10=1)*1+(C10:P10=2)*0.75+(C10:P10=3)*0.69+(C10:P10=4)*0.63)</f>
        <v/>
      </c>
      <c r="R10" s="82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38" t="n"/>
      <c r="AG10" s="38" t="n"/>
      <c r="AI10" s="38" t="n"/>
    </row>
    <row r="11" ht="25" customFormat="1" customHeight="1" s="5">
      <c r="A11" s="67" t="n">
        <v>9</v>
      </c>
      <c r="B11" s="68" t="inlineStr">
        <is>
          <t>APOLINARIO, ACE JOHN PAUL SALAZAR</t>
        </is>
      </c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69">
        <f>SUMPRODUCT((C11:P11=1)*1+(C11:P11=2)*0.75+(C11:P11=3)*0.69+(C11:P11=4)*0.63)</f>
        <v/>
      </c>
      <c r="R11" s="82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38" t="n"/>
      <c r="AG11" s="38" t="n"/>
      <c r="AI11" s="38" t="n"/>
    </row>
    <row r="12" ht="25" customFormat="1" customHeight="1" s="5">
      <c r="A12" s="71" t="n">
        <v>10</v>
      </c>
      <c r="B12" s="72" t="inlineStr">
        <is>
          <t>BEGINO, WIL JUSTIN DAMPIOS</t>
        </is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73">
        <f>SUMPRODUCT((C12:P12=1)*1+(C12:P12=2)*0.75+(C12:P12=3)*0.69+(C12:P12=4)*0.63)</f>
        <v/>
      </c>
      <c r="R12" s="82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38" t="n"/>
      <c r="AG12" s="38" t="n"/>
      <c r="AI12" s="38" t="n"/>
    </row>
    <row r="13" ht="25" customFormat="1" customHeight="1" s="5">
      <c r="A13" s="67" t="n">
        <v>11</v>
      </c>
      <c r="B13" s="68" t="inlineStr">
        <is>
          <t>CADA, MIGUEL EDUARDO GUNO</t>
        </is>
      </c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69">
        <f>SUMPRODUCT((C13:P13=1)*1+(C13:P13=2)*0.75+(C13:P13=3)*0.69+(C13:P13=4)*0.63)</f>
        <v/>
      </c>
      <c r="R13" s="82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38" t="n"/>
      <c r="AG13" s="38" t="n"/>
      <c r="AI13" s="38" t="n"/>
    </row>
    <row r="14" ht="25" customFormat="1" customHeight="1" s="5">
      <c r="A14" s="71" t="n">
        <v>12</v>
      </c>
      <c r="B14" s="72" t="inlineStr">
        <is>
          <t>CARIAGA, REINARD AMIEL ANCHETA</t>
        </is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73">
        <f>SUMPRODUCT((C14:P14=1)*1+(C14:P14=2)*0.75+(C14:P14=3)*0.69+(C14:P14=4)*0.63)</f>
        <v/>
      </c>
      <c r="R14" s="82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38" t="n"/>
      <c r="AG14" s="38" t="n"/>
      <c r="AI14" s="38" t="n"/>
    </row>
    <row r="15" ht="25" customFormat="1" customHeight="1" s="5">
      <c r="A15" s="67" t="n">
        <v>13</v>
      </c>
      <c r="B15" s="68" t="inlineStr">
        <is>
          <t>CASTRO, CARL DE CASTRO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69">
        <f>SUMPRODUCT((C15:P15=1)*1+(C15:P15=2)*0.75+(C15:P15=3)*0.69+(C15:P15=4)*0.63)</f>
        <v/>
      </c>
      <c r="R15" s="82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38" t="n"/>
      <c r="AG15" s="38" t="n"/>
      <c r="AI15" s="38" t="n"/>
    </row>
    <row r="16" ht="25" customFormat="1" customHeight="1" s="5">
      <c r="A16" s="71" t="n">
        <v>14</v>
      </c>
      <c r="B16" s="72" t="inlineStr">
        <is>
          <t>CRISTINO, VASILLI ITUBAY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73">
        <f>SUMPRODUCT((C16:P16=1)*1+(C16:P16=2)*0.75+(C16:P16=3)*0.69+(C16:P16=4)*0.63)</f>
        <v/>
      </c>
      <c r="R16" s="82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38" t="n"/>
      <c r="AG16" s="38" t="n"/>
      <c r="AI16" s="38" t="n"/>
    </row>
    <row r="17" ht="25" customFormat="1" customHeight="1" s="5">
      <c r="A17" s="67" t="n">
        <v>15</v>
      </c>
      <c r="B17" s="68" t="inlineStr">
        <is>
          <t>DAGDAGAN, ALISTER JAMES BARRUELA</t>
        </is>
      </c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69">
        <f>SUMPRODUCT((C17:P17=1)*1+(C17:P17=2)*0.75+(C17:P17=3)*0.69+(C17:P17=4)*0.63)</f>
        <v/>
      </c>
      <c r="R17" s="82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38" t="n"/>
      <c r="AG17" s="38" t="n"/>
      <c r="AI17" s="38" t="n"/>
    </row>
    <row r="18" ht="25" customFormat="1" customHeight="1" s="5">
      <c r="A18" s="71" t="n">
        <v>16</v>
      </c>
      <c r="B18" s="72" t="inlineStr">
        <is>
          <t>DEL PILAR, MARION DONIEL DELLOSA</t>
        </is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73">
        <f>SUMPRODUCT((C18:P18=1)*1+(C18:P18=2)*0.75+(C18:P18=3)*0.69+(C18:P18=4)*0.63)</f>
        <v/>
      </c>
      <c r="R18" s="82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38" t="n"/>
      <c r="AG18" s="38" t="n"/>
      <c r="AI18" s="38" t="n"/>
    </row>
    <row r="19" ht="25" customFormat="1" customHeight="1" s="5">
      <c r="A19" s="67" t="n">
        <v>17</v>
      </c>
      <c r="B19" s="68" t="inlineStr">
        <is>
          <t>DELA CRUZ, PAMELA CHRISTIE MANGULABNAN</t>
        </is>
      </c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69">
        <f>SUMPRODUCT((C19:P19=1)*1+(C19:P19=2)*0.75+(C19:P19=3)*0.69+(C19:P19=4)*0.63)</f>
        <v/>
      </c>
      <c r="R19" s="82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38" t="n"/>
      <c r="AG19" s="38" t="n"/>
      <c r="AI19" s="38" t="n"/>
    </row>
    <row r="20" ht="25" customFormat="1" customHeight="1" s="5">
      <c r="A20" s="71" t="n">
        <v>18</v>
      </c>
      <c r="B20" s="72" t="inlineStr">
        <is>
          <t>DULPINA, AETAN YURI MUNSAYAC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73">
        <f>SUMPRODUCT((C20:P20=1)*1+(C20:P20=2)*0.75+(C20:P20=3)*0.69+(C20:P20=4)*0.63)</f>
        <v/>
      </c>
      <c r="R20" s="82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38" t="n"/>
      <c r="AG20" s="38" t="n"/>
      <c r="AI20" s="38" t="n"/>
    </row>
    <row r="21" ht="25" customFormat="1" customHeight="1" s="5">
      <c r="A21" s="67" t="n">
        <v>19</v>
      </c>
      <c r="B21" s="68" t="inlineStr">
        <is>
          <t>ERFE, ROGERSON BISNAN</t>
        </is>
      </c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69">
        <f>SUMPRODUCT((C21:P21=1)*1+(C21:P21=2)*0.75+(C21:P21=3)*0.69+(C21:P21=4)*0.63)</f>
        <v/>
      </c>
      <c r="R21" s="82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38" t="n"/>
      <c r="AG21" s="38" t="n"/>
      <c r="AI21" s="38" t="n"/>
    </row>
    <row r="22" ht="25" customFormat="1" customHeight="1" s="5">
      <c r="A22" s="71" t="n">
        <v>20</v>
      </c>
      <c r="B22" s="72" t="inlineStr">
        <is>
          <t>ESPIRITU, JUSTINE JAMES ADDUN</t>
        </is>
      </c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73">
        <f>SUMPRODUCT((C22:P22=1)*1+(C22:P22=2)*0.75+(C22:P22=3)*0.69+(C22:P22=4)*0.63)</f>
        <v/>
      </c>
      <c r="R22" s="82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38" t="n"/>
      <c r="AG22" s="38" t="n"/>
      <c r="AI22" s="38" t="n"/>
    </row>
    <row r="23" ht="25" customFormat="1" customHeight="1" s="5">
      <c r="A23" s="67" t="n">
        <v>21</v>
      </c>
      <c r="B23" s="68" t="inlineStr">
        <is>
          <t>EULLARAN, RICH YZEN CORTEL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69">
        <f>SUMPRODUCT((C23:P23=1)*1+(C23:P23=2)*0.75+(C23:P23=3)*0.69+(C23:P23=4)*0.63)</f>
        <v/>
      </c>
      <c r="R23" s="82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38" t="n"/>
      <c r="AG23" s="38" t="n"/>
      <c r="AI23" s="38" t="n"/>
    </row>
    <row r="24" ht="25" customFormat="1" customHeight="1" s="5">
      <c r="A24" s="71" t="n">
        <v>22</v>
      </c>
      <c r="B24" s="72" t="inlineStr">
        <is>
          <t>FLORES, FERDINAND ERIC JR. BAUTISTA</t>
        </is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73">
        <f>SUMPRODUCT((C24:P24=1)*1+(C24:P24=2)*0.75+(C24:P24=3)*0.69+(C24:P24=4)*0.63)</f>
        <v/>
      </c>
      <c r="R24" s="82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38" t="n"/>
      <c r="AG24" s="38" t="n"/>
      <c r="AI24" s="38" t="n"/>
    </row>
    <row r="25" ht="25" customFormat="1" customHeight="1" s="5">
      <c r="A25" s="67" t="n">
        <v>23</v>
      </c>
      <c r="B25" s="68" t="inlineStr">
        <is>
          <t>FRANCISCO, JOHN ANDREI SEQUIO</t>
        </is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69">
        <f>SUMPRODUCT((C25:P25=1)*1+(C25:P25=2)*0.75+(C25:P25=3)*0.69+(C25:P25=4)*0.63)</f>
        <v/>
      </c>
      <c r="R25" s="82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38" t="n"/>
      <c r="AG25" s="38" t="n"/>
      <c r="AI25" s="38" t="n"/>
    </row>
    <row r="26" ht="25" customFormat="1" customHeight="1" s="5">
      <c r="A26" s="71" t="n">
        <v>24</v>
      </c>
      <c r="B26" s="72" t="inlineStr">
        <is>
          <t>FUENTES, DANIEL ANTHONY MALUNHAO</t>
        </is>
      </c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73">
        <f>SUMPRODUCT((C26:P26=1)*1+(C26:P26=2)*0.75+(C26:P26=3)*0.69+(C26:P26=4)*0.63)</f>
        <v/>
      </c>
      <c r="R26" s="82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38" t="n"/>
      <c r="AG26" s="38" t="n"/>
      <c r="AI26" s="38" t="n"/>
    </row>
    <row r="27" ht="25" customFormat="1" customHeight="1" s="5">
      <c r="A27" s="67" t="n">
        <v>25</v>
      </c>
      <c r="B27" s="68" t="inlineStr">
        <is>
          <t>GARBIN, AIRON RITZ DIZON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69">
        <f>SUMPRODUCT((C27:P27=1)*1+(C27:P27=2)*0.75+(C27:P27=3)*0.69+(C27:P27=4)*0.63)</f>
        <v/>
      </c>
      <c r="R27" s="82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38" t="n"/>
      <c r="AG27" s="38" t="n"/>
      <c r="AI27" s="38" t="n"/>
    </row>
    <row r="28" ht="25" customFormat="1" customHeight="1" s="5">
      <c r="A28" s="71" t="n">
        <v>26</v>
      </c>
      <c r="B28" s="72" t="inlineStr">
        <is>
          <t>GUMBAN, KURT IZREEL MENDOZA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73">
        <f>SUMPRODUCT((C28:P28=1)*1+(C28:P28=2)*0.75+(C28:P28=3)*0.69+(C28:P28=4)*0.63)</f>
        <v/>
      </c>
      <c r="R28" s="82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38" t="n"/>
      <c r="AG28" s="38" t="n"/>
      <c r="AI28" s="38" t="n"/>
    </row>
    <row r="29" ht="25" customFormat="1" customHeight="1" s="5">
      <c r="A29" s="67" t="n">
        <v>27</v>
      </c>
      <c r="B29" s="68" t="inlineStr">
        <is>
          <t>LANDRITO, JEROME ALLEN CENTENO</t>
        </is>
      </c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69">
        <f>SUMPRODUCT((C29:P29=1)*1+(C29:P29=2)*0.75+(C29:P29=3)*0.69+(C29:P29=4)*0.63)</f>
        <v/>
      </c>
      <c r="R29" s="82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38" t="n"/>
      <c r="AG29" s="38" t="n"/>
      <c r="AI29" s="38" t="n"/>
    </row>
    <row r="30" ht="25" customFormat="1" customHeight="1" s="5">
      <c r="A30" s="71" t="n">
        <v>28</v>
      </c>
      <c r="B30" s="72" t="inlineStr">
        <is>
          <t>MAMINTA, MAIQUEL KENJHI PAREDES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73">
        <f>SUMPRODUCT((C30:P30=1)*1+(C30:P30=2)*0.75+(C30:P30=3)*0.69+(C30:P30=4)*0.63)</f>
        <v/>
      </c>
      <c r="R30" s="82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38" t="n"/>
      <c r="AG30" s="38" t="n"/>
      <c r="AI30" s="38" t="n"/>
    </row>
    <row r="31" ht="25" customFormat="1" customHeight="1" s="5">
      <c r="A31" s="67" t="n">
        <v>29</v>
      </c>
      <c r="B31" s="68" t="inlineStr">
        <is>
          <t>MAUNAHAN, CHRISTIAN GABRIEL YANSON</t>
        </is>
      </c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69">
        <f>SUMPRODUCT((C31:P31=1)*1+(C31:P31=2)*0.75+(C31:P31=3)*0.69+(C31:P31=4)*0.63)</f>
        <v/>
      </c>
      <c r="R31" s="82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38" t="n"/>
      <c r="AG31" s="38" t="n"/>
      <c r="AI31" s="38" t="n"/>
    </row>
    <row r="32" ht="25" customFormat="1" customHeight="1" s="5">
      <c r="A32" s="71" t="n">
        <v>30</v>
      </c>
      <c r="B32" s="72" t="inlineStr">
        <is>
          <t>NUÑEZ, CARLO ANTONIO DIVINAGRACIA</t>
        </is>
      </c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73">
        <f>SUMPRODUCT((C32:P32=1)*1+(C32:P32=2)*0.75+(C32:P32=3)*0.69+(C32:P32=4)*0.63)</f>
        <v/>
      </c>
      <c r="R32" s="82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38" t="n"/>
      <c r="AG32" s="38" t="n"/>
      <c r="AI32" s="38" t="n"/>
    </row>
    <row r="33" ht="25" customFormat="1" customHeight="1" s="5">
      <c r="A33" s="67" t="n">
        <v>31</v>
      </c>
      <c r="B33" s="68" t="inlineStr">
        <is>
          <t>ORCINO, CEEJ OCAMPO</t>
        </is>
      </c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69">
        <f>SUMPRODUCT((C33:P33=1)*1+(C33:P33=2)*0.75+(C33:P33=3)*0.69+(C33:P33=4)*0.63)</f>
        <v/>
      </c>
      <c r="R33" s="82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38" t="n"/>
      <c r="AG33" s="38" t="n"/>
      <c r="AI33" s="38" t="n"/>
    </row>
    <row r="34" ht="25" customFormat="1" customHeight="1" s="5">
      <c r="A34" s="71" t="n">
        <v>32</v>
      </c>
      <c r="B34" s="72" t="inlineStr">
        <is>
          <t>PAYUMO, KURT RUSSELL CHAVEZ</t>
        </is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73">
        <f>SUMPRODUCT((C34:P34=1)*1+(C34:P34=2)*0.75+(C34:P34=3)*0.69+(C34:P34=4)*0.63)</f>
        <v/>
      </c>
      <c r="R34" s="82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38" t="n"/>
      <c r="AG34" s="38" t="n"/>
      <c r="AI34" s="38" t="n"/>
    </row>
    <row r="35" ht="25" customFormat="1" customHeight="1" s="5">
      <c r="A35" s="67" t="n">
        <v>33</v>
      </c>
      <c r="B35" s="68" t="inlineStr">
        <is>
          <t>PLAZA, DANIEL GABE ESMERNA</t>
        </is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69">
        <f>SUMPRODUCT((C35:P35=1)*1+(C35:P35=2)*0.75+(C35:P35=3)*0.69+(C35:P35=4)*0.63)</f>
        <v/>
      </c>
      <c r="R35" s="82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38" t="n"/>
      <c r="AG35" s="38" t="n"/>
      <c r="AI35" s="38" t="n"/>
    </row>
    <row r="36" ht="25" customFormat="1" customHeight="1" s="5">
      <c r="A36" s="71" t="n">
        <v>34</v>
      </c>
      <c r="B36" s="72" t="inlineStr">
        <is>
          <t>REGAÑA, JAKE IVAN ALGO</t>
        </is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73">
        <f>SUMPRODUCT((C36:P36=1)*1+(C36:P36=2)*0.75+(C36:P36=3)*0.69+(C36:P36=4)*0.63)</f>
        <v/>
      </c>
      <c r="R36" s="82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38" t="n"/>
      <c r="AG36" s="38" t="n"/>
      <c r="AI36" s="38" t="n"/>
    </row>
    <row r="37" ht="25" customFormat="1" customHeight="1" s="5">
      <c r="A37" s="67" t="n">
        <v>35</v>
      </c>
      <c r="B37" s="68" t="inlineStr">
        <is>
          <t>SAFLOR, KURT COREI SALCEDO</t>
        </is>
      </c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69">
        <f>SUMPRODUCT((C37:P37=1)*1+(C37:P37=2)*0.75+(C37:P37=3)*0.69+(C37:P37=4)*0.63)</f>
        <v/>
      </c>
      <c r="R37" s="82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38" t="n"/>
      <c r="AG37" s="38" t="n"/>
      <c r="AI37" s="38" t="n"/>
    </row>
    <row r="38" ht="25" customFormat="1" customHeight="1" s="5">
      <c r="A38" s="71" t="n">
        <v>36</v>
      </c>
      <c r="B38" s="72" t="inlineStr">
        <is>
          <t>SEBONGA, EDMAR PUNSALAN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73">
        <f>SUMPRODUCT((C38:P38=1)*1+(C38:P38=2)*0.75+(C38:P38=3)*0.69+(C38:P38=4)*0.63)</f>
        <v/>
      </c>
      <c r="R38" s="82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38" t="n"/>
      <c r="AG38" s="38" t="n"/>
      <c r="AI38" s="38" t="n"/>
    </row>
    <row r="39" ht="25" customFormat="1" customHeight="1" s="5">
      <c r="A39" s="67" t="n">
        <v>37</v>
      </c>
      <c r="B39" s="68" t="inlineStr">
        <is>
          <t>SOLVER, ERIC CHRISTOPHER BORJA</t>
        </is>
      </c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69">
        <f>SUMPRODUCT((C39:P39=1)*1+(C39:P39=2)*0.75+(C39:P39=3)*0.69+(C39:P39=4)*0.63)</f>
        <v/>
      </c>
      <c r="R39" s="82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38" t="n"/>
      <c r="AG39" s="38" t="n"/>
      <c r="AI39" s="38" t="n"/>
    </row>
    <row r="40" ht="25" customFormat="1" customHeight="1" s="5">
      <c r="A40" s="71" t="n">
        <v>38</v>
      </c>
      <c r="B40" s="72" t="inlineStr">
        <is>
          <t>TOVERA, TIM CHRISTOPHER VILLAPANDO</t>
        </is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73">
        <f>SUMPRODUCT((C40:P40=1)*1+(C40:P40=2)*0.75+(C40:P40=3)*0.69+(C40:P40=4)*0.63)</f>
        <v/>
      </c>
      <c r="R40" s="82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38" t="n"/>
      <c r="AG40" s="38" t="n"/>
      <c r="AI40" s="38" t="n"/>
    </row>
    <row r="41" ht="25" customFormat="1" customHeight="1" s="5">
      <c r="A41" s="67" t="n">
        <v>39</v>
      </c>
      <c r="B41" s="68" t="inlineStr">
        <is>
          <t>TROYO, CHARLES MALIMATA</t>
        </is>
      </c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69">
        <f>SUMPRODUCT((C41:P41=1)*1+(C41:P41=2)*0.75+(C41:P41=3)*0.69+(C41:P41=4)*0.63)</f>
        <v/>
      </c>
      <c r="R41" s="82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38" t="n"/>
      <c r="AG41" s="38" t="n"/>
      <c r="AI41" s="38" t="n"/>
    </row>
    <row r="42" ht="25" customFormat="1" customHeight="1" s="5">
      <c r="A42" s="71" t="n">
        <v>40</v>
      </c>
      <c r="B42" s="72" t="inlineStr">
        <is>
          <t>TUBAT, LLOYD JAYSON CATALMA</t>
        </is>
      </c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73">
        <f>SUMPRODUCT((C42:P42=1)*1+(C42:P42=2)*0.75+(C42:P42=3)*0.69+(C42:P42=4)*0.63)</f>
        <v/>
      </c>
      <c r="R42" s="82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38" t="n"/>
      <c r="AG42" s="38" t="n"/>
      <c r="AI42" s="38" t="n"/>
    </row>
    <row r="43" ht="25" customFormat="1" customHeight="1" s="5">
      <c r="A43" s="67" t="n">
        <v>41</v>
      </c>
      <c r="B43" s="68" t="inlineStr">
        <is>
          <t>URQUIA, VINWULFE RACKO JACINTO</t>
        </is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69">
        <f>SUMPRODUCT((C43:P43=1)*1+(C43:P43=2)*0.75+(C43:P43=3)*0.69+(C43:P43=4)*0.63)</f>
        <v/>
      </c>
      <c r="R43" s="82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38" t="n"/>
      <c r="AG43" s="38" t="n"/>
      <c r="AI43" s="38" t="n"/>
    </row>
    <row r="44" ht="25" customFormat="1" customHeight="1" s="5" thickBot="1">
      <c r="A44" s="71" t="n">
        <v>42</v>
      </c>
      <c r="B44" s="72" t="inlineStr">
        <is>
          <t>VALIENTE, MARK JUSTINE MORANDARTE</t>
        </is>
      </c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73">
        <f>SUMPRODUCT((C44:P44=1)*1+(C44:P44=2)*0.75+(C44:P44=3)*0.69+(C44:P44=4)*0.63)</f>
        <v/>
      </c>
      <c r="R44" s="82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38" t="n"/>
      <c r="AG44" s="38" t="n"/>
      <c r="AI44" s="38" t="n"/>
    </row>
    <row r="45"/>
  </sheetData>
  <mergeCells count="52">
    <mergeCell ref="Q16:R16"/>
    <mergeCell ref="Q13:R13"/>
    <mergeCell ref="Q7:R7"/>
    <mergeCell ref="Q25:R25"/>
    <mergeCell ref="Q3:R3"/>
    <mergeCell ref="Q21:R21"/>
    <mergeCell ref="Q43:R43"/>
    <mergeCell ref="Q12:R12"/>
    <mergeCell ref="Q37:R37"/>
    <mergeCell ref="Q28:R28"/>
    <mergeCell ref="Q24:R24"/>
    <mergeCell ref="Q42:R42"/>
    <mergeCell ref="Q18:R18"/>
    <mergeCell ref="Q33:R33"/>
    <mergeCell ref="M1:N1"/>
    <mergeCell ref="Q39:R39"/>
    <mergeCell ref="Q8:R8"/>
    <mergeCell ref="C1:D1"/>
    <mergeCell ref="Q29:R29"/>
    <mergeCell ref="Q5:R5"/>
    <mergeCell ref="Q23:R23"/>
    <mergeCell ref="Q38:R38"/>
    <mergeCell ref="Q20:R20"/>
    <mergeCell ref="Q14:R14"/>
    <mergeCell ref="K1:L1"/>
    <mergeCell ref="Q10:R10"/>
    <mergeCell ref="O1:P1"/>
    <mergeCell ref="B1:B2"/>
    <mergeCell ref="E1:F1"/>
    <mergeCell ref="Q19:R19"/>
    <mergeCell ref="Q26:R26"/>
    <mergeCell ref="Q35:R35"/>
    <mergeCell ref="Q4:R4"/>
    <mergeCell ref="Q31:R31"/>
    <mergeCell ref="Q40:R40"/>
    <mergeCell ref="Q34:R34"/>
    <mergeCell ref="Q15:R15"/>
    <mergeCell ref="Q6:R6"/>
    <mergeCell ref="Q44:R44"/>
    <mergeCell ref="Q22:R22"/>
    <mergeCell ref="Q9:R9"/>
    <mergeCell ref="Q36:R36"/>
    <mergeCell ref="Q27:R27"/>
    <mergeCell ref="I1:J1"/>
    <mergeCell ref="Q30:R30"/>
    <mergeCell ref="Q17:R17"/>
    <mergeCell ref="Q11:R11"/>
    <mergeCell ref="G1:H1"/>
    <mergeCell ref="Q32:R32"/>
    <mergeCell ref="Q41:R41"/>
    <mergeCell ref="Q1:R2"/>
    <mergeCell ref="A1:A2"/>
  </mergeCells>
  <printOptions horizontalCentered="1"/>
  <pageMargins left="0.3" right="0.3" top="0.3" bottom="0.3" header="0.3" footer="0.3"/>
  <pageSetup orientation="landscape" scale="41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zoomScale="10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6640625" customWidth="1" min="1" max="1"/>
    <col width="49" customWidth="1" min="2" max="2"/>
    <col width="26.1640625" customWidth="1" min="3" max="3"/>
    <col width="27.83203125" customWidth="1" min="4" max="4"/>
    <col width="26.1640625" customWidth="1" min="5" max="5"/>
    <col width="28.1640625" customWidth="1" min="6" max="6"/>
    <col width="28.5" customWidth="1" min="7" max="7"/>
    <col width="30" customWidth="1" min="8" max="8"/>
    <col width="29.83203125" customWidth="1" min="9" max="9"/>
    <col width="31.33203125" customWidth="1" min="10" max="10"/>
    <col width="29.83203125" customWidth="1" min="11" max="11"/>
    <col width="31.33203125" customWidth="1" min="12" max="12"/>
    <col width="29.83203125" customWidth="1" min="13" max="13"/>
    <col width="31.33203125" customWidth="1" min="14" max="14"/>
    <col width="32.5" customWidth="1" min="15" max="15"/>
    <col width="34" customWidth="1" min="16" max="16"/>
    <col width="12" customWidth="1" min="17" max="17"/>
    <col width="12" customWidth="1" min="18" max="18"/>
  </cols>
  <sheetData>
    <row r="1" ht="23" customHeight="1">
      <c r="A1" s="61" t="inlineStr">
        <is>
          <t>#</t>
        </is>
      </c>
      <c r="B1" s="62" t="inlineStr">
        <is>
          <t>Student Name</t>
        </is>
      </c>
      <c r="C1" s="63" t="inlineStr">
        <is>
          <t>Week 8</t>
        </is>
      </c>
      <c r="D1" s="85" t="n"/>
      <c r="E1" s="63" t="inlineStr">
        <is>
          <t>Week 9</t>
        </is>
      </c>
      <c r="F1" s="85" t="n"/>
      <c r="G1" s="63" t="inlineStr">
        <is>
          <t>Week 10</t>
        </is>
      </c>
      <c r="H1" s="85" t="n"/>
      <c r="I1" s="63" t="inlineStr">
        <is>
          <t>Week 11</t>
        </is>
      </c>
      <c r="J1" s="85" t="n"/>
      <c r="K1" s="63" t="inlineStr">
        <is>
          <t>Week 12</t>
        </is>
      </c>
      <c r="L1" s="85" t="n"/>
      <c r="M1" s="63" t="inlineStr">
        <is>
          <t>Week 13</t>
        </is>
      </c>
      <c r="N1" s="85" t="n"/>
      <c r="O1" s="63" t="inlineStr">
        <is>
          <t>Week 14</t>
        </is>
      </c>
      <c r="P1" s="85" t="n"/>
      <c r="Q1" s="65" t="inlineStr">
        <is>
          <t>FINAL</t>
        </is>
      </c>
      <c r="R1" s="86" t="n"/>
    </row>
    <row r="2" ht="33" customHeight="1">
      <c r="A2" s="77" t="n"/>
      <c r="B2" s="78" t="n"/>
      <c r="C2" s="66" t="inlineStr">
        <is>
          <t>Monday, September 8, 2025</t>
        </is>
      </c>
      <c r="D2" s="66" t="inlineStr">
        <is>
          <t>Thursday, September 11, 2025</t>
        </is>
      </c>
      <c r="E2" s="66" t="inlineStr">
        <is>
          <t>Monday, September 15, 2025</t>
        </is>
      </c>
      <c r="F2" s="66" t="inlineStr">
        <is>
          <t>Thursday, September 18, 2025</t>
        </is>
      </c>
      <c r="G2" s="66" t="inlineStr">
        <is>
          <t>Monday, September 22, 2025</t>
        </is>
      </c>
      <c r="H2" s="66" t="inlineStr">
        <is>
          <t>Thursday, September 25, 2025</t>
        </is>
      </c>
      <c r="I2" s="66" t="inlineStr">
        <is>
          <t>Monday, September 29, 2025</t>
        </is>
      </c>
      <c r="J2" s="66" t="inlineStr">
        <is>
          <t>Thursday, October 2, 2025</t>
        </is>
      </c>
      <c r="K2" s="66" t="inlineStr">
        <is>
          <t>Monday, October 6, 2025</t>
        </is>
      </c>
      <c r="L2" s="66" t="inlineStr">
        <is>
          <t>Thursday, October 9, 2025</t>
        </is>
      </c>
      <c r="M2" s="66" t="inlineStr">
        <is>
          <t>Monday, October 13, 2025</t>
        </is>
      </c>
      <c r="N2" s="66" t="inlineStr">
        <is>
          <t>Thursday, October 16, 2025</t>
        </is>
      </c>
      <c r="O2" s="66" t="inlineStr">
        <is>
          <t>Monday, October 20, 2025</t>
        </is>
      </c>
      <c r="P2" s="66" t="inlineStr">
        <is>
          <t>Thursday, October 23, 2025</t>
        </is>
      </c>
      <c r="Q2" s="87" t="n"/>
      <c r="R2" s="88" t="n"/>
    </row>
    <row r="3" ht="25" customHeight="1">
      <c r="A3" s="67">
        <f>'midterms'!A3</f>
        <v/>
      </c>
      <c r="B3" s="68">
        <f>'midterms'!B3</f>
        <v/>
      </c>
      <c r="C3" s="53" t="n"/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69">
        <f>SUMPRODUCT((C3:P3=1)*1+(C3:P3=2)*0.75+(C3:P3=3)*0.69+(C3:P3=4)*0.63)</f>
        <v/>
      </c>
      <c r="R3" s="82" t="n"/>
    </row>
    <row r="4" ht="25" customHeight="1">
      <c r="A4" s="71">
        <f>'midterms'!A4</f>
        <v/>
      </c>
      <c r="B4" s="72">
        <f>'midterms'!B4</f>
        <v/>
      </c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73">
        <f>SUMPRODUCT((C4:P4=1)*1+(C4:P4=2)*0.75+(C4:P4=3)*0.69+(C4:P4=4)*0.63)</f>
        <v/>
      </c>
      <c r="R4" s="82" t="n"/>
    </row>
    <row r="5" ht="25" customHeight="1">
      <c r="A5" s="67">
        <f>'midterms'!A5</f>
        <v/>
      </c>
      <c r="B5" s="68">
        <f>'midterms'!B5</f>
        <v/>
      </c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69">
        <f>SUMPRODUCT((C5:P5=1)*1+(C5:P5=2)*0.75+(C5:P5=3)*0.69+(C5:P5=4)*0.63)</f>
        <v/>
      </c>
      <c r="R5" s="82" t="n"/>
    </row>
    <row r="6" ht="25" customHeight="1">
      <c r="A6" s="71">
        <f>'midterms'!A6</f>
        <v/>
      </c>
      <c r="B6" s="72">
        <f>'midterms'!B6</f>
        <v/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73">
        <f>SUMPRODUCT((C6:P6=1)*1+(C6:P6=2)*0.75+(C6:P6=3)*0.69+(C6:P6=4)*0.63)</f>
        <v/>
      </c>
      <c r="R6" s="82" t="n"/>
    </row>
    <row r="7" ht="25" customHeight="1">
      <c r="A7" s="67">
        <f>'midterms'!A7</f>
        <v/>
      </c>
      <c r="B7" s="68">
        <f>'midterms'!B7</f>
        <v/>
      </c>
      <c r="C7" s="53" t="n"/>
      <c r="D7" s="53" t="n"/>
      <c r="E7" s="53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69">
        <f>SUMPRODUCT((C7:P7=1)*1+(C7:P7=2)*0.75+(C7:P7=3)*0.69+(C7:P7=4)*0.63)</f>
        <v/>
      </c>
      <c r="R7" s="82" t="n"/>
    </row>
    <row r="8" ht="25" customHeight="1">
      <c r="A8" s="71">
        <f>'midterms'!A8</f>
        <v/>
      </c>
      <c r="B8" s="72">
        <f>'midterms'!B8</f>
        <v/>
      </c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73">
        <f>SUMPRODUCT((C8:P8=1)*1+(C8:P8=2)*0.75+(C8:P8=3)*0.69+(C8:P8=4)*0.63)</f>
        <v/>
      </c>
      <c r="R8" s="82" t="n"/>
    </row>
    <row r="9" ht="25" customHeight="1">
      <c r="A9" s="67">
        <f>'midterms'!A9</f>
        <v/>
      </c>
      <c r="B9" s="68">
        <f>'midterms'!B9</f>
        <v/>
      </c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69">
        <f>SUMPRODUCT((C9:P9=1)*1+(C9:P9=2)*0.75+(C9:P9=3)*0.69+(C9:P9=4)*0.63)</f>
        <v/>
      </c>
      <c r="R9" s="82" t="n"/>
    </row>
    <row r="10" ht="25" customHeight="1">
      <c r="A10" s="71">
        <f>'midterms'!A10</f>
        <v/>
      </c>
      <c r="B10" s="72">
        <f>'midterms'!B10</f>
        <v/>
      </c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73">
        <f>SUMPRODUCT((C10:P10=1)*1+(C10:P10=2)*0.75+(C10:P10=3)*0.69+(C10:P10=4)*0.63)</f>
        <v/>
      </c>
      <c r="R10" s="82" t="n"/>
    </row>
    <row r="11" ht="25" customHeight="1">
      <c r="A11" s="67">
        <f>'midterms'!A11</f>
        <v/>
      </c>
      <c r="B11" s="68">
        <f>'midterms'!B11</f>
        <v/>
      </c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69">
        <f>SUMPRODUCT((C11:P11=1)*1+(C11:P11=2)*0.75+(C11:P11=3)*0.69+(C11:P11=4)*0.63)</f>
        <v/>
      </c>
      <c r="R11" s="82" t="n"/>
    </row>
    <row r="12" ht="25" customHeight="1">
      <c r="A12" s="71">
        <f>'midterms'!A12</f>
        <v/>
      </c>
      <c r="B12" s="72">
        <f>'midterms'!B12</f>
        <v/>
      </c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73">
        <f>SUMPRODUCT((C12:P12=1)*1+(C12:P12=2)*0.75+(C12:P12=3)*0.69+(C12:P12=4)*0.63)</f>
        <v/>
      </c>
      <c r="R12" s="82" t="n"/>
    </row>
    <row r="13" ht="25" customHeight="1">
      <c r="A13" s="67">
        <f>'midterms'!A13</f>
        <v/>
      </c>
      <c r="B13" s="68">
        <f>'midterms'!B13</f>
        <v/>
      </c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69">
        <f>SUMPRODUCT((C13:P13=1)*1+(C13:P13=2)*0.75+(C13:P13=3)*0.69+(C13:P13=4)*0.63)</f>
        <v/>
      </c>
      <c r="R13" s="82" t="n"/>
    </row>
    <row r="14" ht="25" customHeight="1">
      <c r="A14" s="71">
        <f>'midterms'!A14</f>
        <v/>
      </c>
      <c r="B14" s="72">
        <f>'midterms'!B14</f>
        <v/>
      </c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73">
        <f>SUMPRODUCT((C14:P14=1)*1+(C14:P14=2)*0.75+(C14:P14=3)*0.69+(C14:P14=4)*0.63)</f>
        <v/>
      </c>
      <c r="R14" s="82" t="n"/>
    </row>
    <row r="15" ht="25" customHeight="1">
      <c r="A15" s="67">
        <f>'midterms'!A15</f>
        <v/>
      </c>
      <c r="B15" s="68">
        <f>'midterms'!B15</f>
        <v/>
      </c>
      <c r="C15" s="53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69">
        <f>SUMPRODUCT((C15:P15=1)*1+(C15:P15=2)*0.75+(C15:P15=3)*0.69+(C15:P15=4)*0.63)</f>
        <v/>
      </c>
      <c r="R15" s="82" t="n"/>
    </row>
    <row r="16" ht="25" customHeight="1">
      <c r="A16" s="71">
        <f>'midterms'!A16</f>
        <v/>
      </c>
      <c r="B16" s="72">
        <f>'midterms'!B16</f>
        <v/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73">
        <f>SUMPRODUCT((C16:P16=1)*1+(C16:P16=2)*0.75+(C16:P16=3)*0.69+(C16:P16=4)*0.63)</f>
        <v/>
      </c>
      <c r="R16" s="82" t="n"/>
    </row>
    <row r="17" ht="25" customHeight="1">
      <c r="A17" s="67">
        <f>'midterms'!A17</f>
        <v/>
      </c>
      <c r="B17" s="68">
        <f>'midterms'!B17</f>
        <v/>
      </c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69">
        <f>SUMPRODUCT((C17:P17=1)*1+(C17:P17=2)*0.75+(C17:P17=3)*0.69+(C17:P17=4)*0.63)</f>
        <v/>
      </c>
      <c r="R17" s="82" t="n"/>
    </row>
    <row r="18" ht="25" customHeight="1">
      <c r="A18" s="71">
        <f>'midterms'!A18</f>
        <v/>
      </c>
      <c r="B18" s="72">
        <f>'midterms'!B18</f>
        <v/>
      </c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73">
        <f>SUMPRODUCT((C18:P18=1)*1+(C18:P18=2)*0.75+(C18:P18=3)*0.69+(C18:P18=4)*0.63)</f>
        <v/>
      </c>
      <c r="R18" s="82" t="n"/>
    </row>
    <row r="19" ht="25" customHeight="1">
      <c r="A19" s="67">
        <f>'midterms'!A19</f>
        <v/>
      </c>
      <c r="B19" s="68">
        <f>'midterms'!B19</f>
        <v/>
      </c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69">
        <f>SUMPRODUCT((C19:P19=1)*1+(C19:P19=2)*0.75+(C19:P19=3)*0.69+(C19:P19=4)*0.63)</f>
        <v/>
      </c>
      <c r="R19" s="82" t="n"/>
    </row>
    <row r="20" ht="25" customHeight="1">
      <c r="A20" s="71">
        <f>'midterms'!A20</f>
        <v/>
      </c>
      <c r="B20" s="72">
        <f>'midterms'!B20</f>
        <v/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73">
        <f>SUMPRODUCT((C20:P20=1)*1+(C20:P20=2)*0.75+(C20:P20=3)*0.69+(C20:P20=4)*0.63)</f>
        <v/>
      </c>
      <c r="R20" s="82" t="n"/>
    </row>
    <row r="21" ht="25" customHeight="1">
      <c r="A21" s="67">
        <f>'midterms'!A21</f>
        <v/>
      </c>
      <c r="B21" s="68">
        <f>'midterms'!B21</f>
        <v/>
      </c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69">
        <f>SUMPRODUCT((C21:P21=1)*1+(C21:P21=2)*0.75+(C21:P21=3)*0.69+(C21:P21=4)*0.63)</f>
        <v/>
      </c>
      <c r="R21" s="82" t="n"/>
    </row>
    <row r="22" ht="25" customHeight="1">
      <c r="A22" s="71">
        <f>'midterms'!A22</f>
        <v/>
      </c>
      <c r="B22" s="72">
        <f>'midterms'!B22</f>
        <v/>
      </c>
      <c r="C22" s="57" t="n"/>
      <c r="D22" s="57" t="n"/>
      <c r="E22" s="57" t="n"/>
      <c r="F22" s="57" t="n"/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73">
        <f>SUMPRODUCT((C22:P22=1)*1+(C22:P22=2)*0.75+(C22:P22=3)*0.69+(C22:P22=4)*0.63)</f>
        <v/>
      </c>
      <c r="R22" s="82" t="n"/>
    </row>
    <row r="23" ht="25" customHeight="1">
      <c r="A23" s="67">
        <f>'midterms'!A23</f>
        <v/>
      </c>
      <c r="B23" s="68">
        <f>'midterms'!B23</f>
        <v/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69">
        <f>SUMPRODUCT((C23:P23=1)*1+(C23:P23=2)*0.75+(C23:P23=3)*0.69+(C23:P23=4)*0.63)</f>
        <v/>
      </c>
      <c r="R23" s="82" t="n"/>
    </row>
    <row r="24" ht="25" customHeight="1">
      <c r="A24" s="71">
        <f>'midterms'!A24</f>
        <v/>
      </c>
      <c r="B24" s="72">
        <f>'midterms'!B24</f>
        <v/>
      </c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73">
        <f>SUMPRODUCT((C24:P24=1)*1+(C24:P24=2)*0.75+(C24:P24=3)*0.69+(C24:P24=4)*0.63)</f>
        <v/>
      </c>
      <c r="R24" s="82" t="n"/>
    </row>
    <row r="25" ht="25" customHeight="1">
      <c r="A25" s="67">
        <f>'midterms'!A25</f>
        <v/>
      </c>
      <c r="B25" s="68">
        <f>'midterms'!B25</f>
        <v/>
      </c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69">
        <f>SUMPRODUCT((C25:P25=1)*1+(C25:P25=2)*0.75+(C25:P25=3)*0.69+(C25:P25=4)*0.63)</f>
        <v/>
      </c>
      <c r="R25" s="82" t="n"/>
    </row>
    <row r="26" ht="25" customHeight="1">
      <c r="A26" s="71">
        <f>'midterms'!A26</f>
        <v/>
      </c>
      <c r="B26" s="72">
        <f>'midterms'!B26</f>
        <v/>
      </c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73">
        <f>SUMPRODUCT((C26:P26=1)*1+(C26:P26=2)*0.75+(C26:P26=3)*0.69+(C26:P26=4)*0.63)</f>
        <v/>
      </c>
      <c r="R26" s="82" t="n"/>
    </row>
    <row r="27" ht="25" customHeight="1">
      <c r="A27" s="67">
        <f>'midterms'!A27</f>
        <v/>
      </c>
      <c r="B27" s="68">
        <f>'midterms'!B27</f>
        <v/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69">
        <f>SUMPRODUCT((C27:P27=1)*1+(C27:P27=2)*0.75+(C27:P27=3)*0.69+(C27:P27=4)*0.63)</f>
        <v/>
      </c>
      <c r="R27" s="82" t="n"/>
    </row>
    <row r="28" ht="25" customHeight="1">
      <c r="A28" s="71">
        <f>'midterms'!A28</f>
        <v/>
      </c>
      <c r="B28" s="72">
        <f>'midterms'!B28</f>
        <v/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73">
        <f>SUMPRODUCT((C28:P28=1)*1+(C28:P28=2)*0.75+(C28:P28=3)*0.69+(C28:P28=4)*0.63)</f>
        <v/>
      </c>
      <c r="R28" s="82" t="n"/>
    </row>
    <row r="29" ht="25" customHeight="1">
      <c r="A29" s="67">
        <f>'midterms'!A29</f>
        <v/>
      </c>
      <c r="B29" s="68">
        <f>'midterms'!B29</f>
        <v/>
      </c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69">
        <f>SUMPRODUCT((C29:P29=1)*1+(C29:P29=2)*0.75+(C29:P29=3)*0.69+(C29:P29=4)*0.63)</f>
        <v/>
      </c>
      <c r="R29" s="82" t="n"/>
    </row>
    <row r="30" ht="25" customHeight="1">
      <c r="A30" s="71">
        <f>'midterms'!A30</f>
        <v/>
      </c>
      <c r="B30" s="72">
        <f>'midterms'!B30</f>
        <v/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73">
        <f>SUMPRODUCT((C30:P30=1)*1+(C30:P30=2)*0.75+(C30:P30=3)*0.69+(C30:P30=4)*0.63)</f>
        <v/>
      </c>
      <c r="R30" s="82" t="n"/>
    </row>
    <row r="31" ht="25" customHeight="1">
      <c r="A31" s="67">
        <f>'midterms'!A31</f>
        <v/>
      </c>
      <c r="B31" s="68">
        <f>'midterms'!B31</f>
        <v/>
      </c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69">
        <f>SUMPRODUCT((C31:P31=1)*1+(C31:P31=2)*0.75+(C31:P31=3)*0.69+(C31:P31=4)*0.63)</f>
        <v/>
      </c>
      <c r="R31" s="82" t="n"/>
    </row>
    <row r="32" ht="25" customHeight="1">
      <c r="A32" s="71">
        <f>'midterms'!A32</f>
        <v/>
      </c>
      <c r="B32" s="72">
        <f>'midterms'!B32</f>
        <v/>
      </c>
      <c r="C32" s="57" t="n"/>
      <c r="D32" s="57" t="n"/>
      <c r="E32" s="57" t="n"/>
      <c r="F32" s="57" t="n"/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73">
        <f>SUMPRODUCT((C32:P32=1)*1+(C32:P32=2)*0.75+(C32:P32=3)*0.69+(C32:P32=4)*0.63)</f>
        <v/>
      </c>
      <c r="R32" s="82" t="n"/>
    </row>
    <row r="33" ht="25" customHeight="1">
      <c r="A33" s="67">
        <f>'midterms'!A33</f>
        <v/>
      </c>
      <c r="B33" s="68">
        <f>'midterms'!B33</f>
        <v/>
      </c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69">
        <f>SUMPRODUCT((C33:P33=1)*1+(C33:P33=2)*0.75+(C33:P33=3)*0.69+(C33:P33=4)*0.63)</f>
        <v/>
      </c>
      <c r="R33" s="82" t="n"/>
    </row>
    <row r="34" ht="25" customHeight="1">
      <c r="A34" s="71">
        <f>'midterms'!A34</f>
        <v/>
      </c>
      <c r="B34" s="72">
        <f>'midterms'!B34</f>
        <v/>
      </c>
      <c r="C34" s="57" t="n"/>
      <c r="D34" s="57" t="n"/>
      <c r="E34" s="57" t="n"/>
      <c r="F34" s="57" t="n"/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73">
        <f>SUMPRODUCT((C34:P34=1)*1+(C34:P34=2)*0.75+(C34:P34=3)*0.69+(C34:P34=4)*0.63)</f>
        <v/>
      </c>
      <c r="R34" s="82" t="n"/>
    </row>
    <row r="35" ht="25" customHeight="1">
      <c r="A35" s="67">
        <f>'midterms'!A35</f>
        <v/>
      </c>
      <c r="B35" s="68">
        <f>'midterms'!B35</f>
        <v/>
      </c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69">
        <f>SUMPRODUCT((C35:P35=1)*1+(C35:P35=2)*0.75+(C35:P35=3)*0.69+(C35:P35=4)*0.63)</f>
        <v/>
      </c>
      <c r="R35" s="82" t="n"/>
    </row>
    <row r="36" ht="25" customHeight="1">
      <c r="A36" s="71">
        <f>'midterms'!A36</f>
        <v/>
      </c>
      <c r="B36" s="72">
        <f>'midterms'!B36</f>
        <v/>
      </c>
      <c r="C36" s="57" t="n"/>
      <c r="D36" s="57" t="n"/>
      <c r="E36" s="57" t="n"/>
      <c r="F36" s="57" t="n"/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73">
        <f>SUMPRODUCT((C36:P36=1)*1+(C36:P36=2)*0.75+(C36:P36=3)*0.69+(C36:P36=4)*0.63)</f>
        <v/>
      </c>
      <c r="R36" s="82" t="n"/>
    </row>
    <row r="37" ht="25" customHeight="1">
      <c r="A37" s="67">
        <f>'midterms'!A37</f>
        <v/>
      </c>
      <c r="B37" s="68">
        <f>'midterms'!B37</f>
        <v/>
      </c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69">
        <f>SUMPRODUCT((C37:P37=1)*1+(C37:P37=2)*0.75+(C37:P37=3)*0.69+(C37:P37=4)*0.63)</f>
        <v/>
      </c>
      <c r="R37" s="82" t="n"/>
    </row>
    <row r="38" ht="25" customHeight="1">
      <c r="A38" s="71">
        <f>'midterms'!A38</f>
        <v/>
      </c>
      <c r="B38" s="72">
        <f>'midterms'!B38</f>
        <v/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73">
        <f>SUMPRODUCT((C38:P38=1)*1+(C38:P38=2)*0.75+(C38:P38=3)*0.69+(C38:P38=4)*0.63)</f>
        <v/>
      </c>
      <c r="R38" s="82" t="n"/>
    </row>
    <row r="39" ht="25" customHeight="1">
      <c r="A39" s="67">
        <f>'midterms'!A39</f>
        <v/>
      </c>
      <c r="B39" s="68">
        <f>'midterms'!B39</f>
        <v/>
      </c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69">
        <f>SUMPRODUCT((C39:P39=1)*1+(C39:P39=2)*0.75+(C39:P39=3)*0.69+(C39:P39=4)*0.63)</f>
        <v/>
      </c>
      <c r="R39" s="82" t="n"/>
    </row>
    <row r="40" ht="25" customHeight="1">
      <c r="A40" s="71">
        <f>'midterms'!A40</f>
        <v/>
      </c>
      <c r="B40" s="72">
        <f>'midterms'!B40</f>
        <v/>
      </c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73">
        <f>SUMPRODUCT((C40:P40=1)*1+(C40:P40=2)*0.75+(C40:P40=3)*0.69+(C40:P40=4)*0.63)</f>
        <v/>
      </c>
      <c r="R40" s="82" t="n"/>
    </row>
    <row r="41" ht="25" customHeight="1">
      <c r="A41" s="67">
        <f>'midterms'!A41</f>
        <v/>
      </c>
      <c r="B41" s="68">
        <f>'midterms'!B41</f>
        <v/>
      </c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69">
        <f>SUMPRODUCT((C41:P41=1)*1+(C41:P41=2)*0.75+(C41:P41=3)*0.69+(C41:P41=4)*0.63)</f>
        <v/>
      </c>
      <c r="R41" s="82" t="n"/>
    </row>
    <row r="42" ht="25" customHeight="1">
      <c r="A42" s="71">
        <f>'midterms'!A42</f>
        <v/>
      </c>
      <c r="B42" s="72">
        <f>'midterms'!B42</f>
        <v/>
      </c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73">
        <f>SUMPRODUCT((C42:P42=1)*1+(C42:P42=2)*0.75+(C42:P42=3)*0.69+(C42:P42=4)*0.63)</f>
        <v/>
      </c>
      <c r="R42" s="82" t="n"/>
    </row>
    <row r="43" ht="25" customHeight="1">
      <c r="A43" s="67">
        <f>'midterms'!A43</f>
        <v/>
      </c>
      <c r="B43" s="68">
        <f>'midterms'!B43</f>
        <v/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69">
        <f>SUMPRODUCT((C43:P43=1)*1+(C43:P43=2)*0.75+(C43:P43=3)*0.69+(C43:P43=4)*0.63)</f>
        <v/>
      </c>
      <c r="R43" s="82" t="n"/>
    </row>
    <row r="44" ht="25" customHeight="1">
      <c r="A44" s="71">
        <f>'midterms'!A44</f>
        <v/>
      </c>
      <c r="B44" s="72">
        <f>'midterms'!B44</f>
        <v/>
      </c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73">
        <f>SUMPRODUCT((C44:P44=1)*1+(C44:P44=2)*0.75+(C44:P44=3)*0.69+(C44:P44=4)*0.63)</f>
        <v/>
      </c>
      <c r="R44" s="82" t="n"/>
    </row>
    <row r="45"/>
  </sheetData>
  <mergeCells count="52">
    <mergeCell ref="Q16:R16"/>
    <mergeCell ref="Q13:R13"/>
    <mergeCell ref="Q7:R7"/>
    <mergeCell ref="Q25:R25"/>
    <mergeCell ref="Q3:R3"/>
    <mergeCell ref="Q21:R21"/>
    <mergeCell ref="Q43:R43"/>
    <mergeCell ref="Q12:R12"/>
    <mergeCell ref="Q37:R37"/>
    <mergeCell ref="Q28:R28"/>
    <mergeCell ref="Q24:R24"/>
    <mergeCell ref="Q42:R42"/>
    <mergeCell ref="Q18:R18"/>
    <mergeCell ref="Q33:R33"/>
    <mergeCell ref="M1:N1"/>
    <mergeCell ref="Q39:R39"/>
    <mergeCell ref="Q8:R8"/>
    <mergeCell ref="C1:D1"/>
    <mergeCell ref="Q29:R29"/>
    <mergeCell ref="Q5:R5"/>
    <mergeCell ref="Q23:R23"/>
    <mergeCell ref="Q38:R38"/>
    <mergeCell ref="Q20:R20"/>
    <mergeCell ref="Q14:R14"/>
    <mergeCell ref="K1:L1"/>
    <mergeCell ref="Q10:R10"/>
    <mergeCell ref="O1:P1"/>
    <mergeCell ref="B1:B2"/>
    <mergeCell ref="E1:F1"/>
    <mergeCell ref="Q19:R19"/>
    <mergeCell ref="Q26:R26"/>
    <mergeCell ref="Q35:R35"/>
    <mergeCell ref="Q4:R4"/>
    <mergeCell ref="Q31:R31"/>
    <mergeCell ref="Q40:R40"/>
    <mergeCell ref="Q34:R34"/>
    <mergeCell ref="Q15:R15"/>
    <mergeCell ref="Q6:R6"/>
    <mergeCell ref="Q44:R44"/>
    <mergeCell ref="Q22:R22"/>
    <mergeCell ref="Q9:R9"/>
    <mergeCell ref="Q36:R36"/>
    <mergeCell ref="Q27:R27"/>
    <mergeCell ref="I1:J1"/>
    <mergeCell ref="Q30:R30"/>
    <mergeCell ref="Q17:R17"/>
    <mergeCell ref="Q11:R11"/>
    <mergeCell ref="G1:H1"/>
    <mergeCell ref="Q32:R32"/>
    <mergeCell ref="Q41:R41"/>
    <mergeCell ref="Q1:R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44"/>
  <sheetViews>
    <sheetView zoomScale="65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3" sqref="A3"/>
      <selection pane="bottomRight" activeCell="AE1" sqref="AE1"/>
    </sheetView>
  </sheetViews>
  <sheetFormatPr baseColWidth="10" defaultRowHeight="16"/>
  <cols>
    <col width="3.6640625" bestFit="1" customWidth="1" min="1" max="1"/>
    <col width="49" bestFit="1" customWidth="1" min="2" max="2"/>
    <col width="26.1640625" bestFit="1" customWidth="1" min="3" max="3"/>
    <col width="27.83203125" bestFit="1" customWidth="1" min="4" max="4"/>
    <col width="26.1640625" bestFit="1" customWidth="1" min="5" max="5"/>
    <col width="28.1640625" bestFit="1" customWidth="1" min="6" max="6"/>
    <col width="28.5" bestFit="1" customWidth="1" min="7" max="7"/>
    <col width="30" bestFit="1" customWidth="1" min="8" max="8"/>
    <col width="29.83203125" bestFit="1" customWidth="1" min="9" max="9"/>
    <col width="31.33203125" bestFit="1" customWidth="1" min="10" max="10"/>
    <col width="29.83203125" bestFit="1" customWidth="1" min="11" max="11"/>
    <col width="31.33203125" bestFit="1" customWidth="1" min="12" max="12"/>
    <col width="29.83203125" bestFit="1" customWidth="1" min="13" max="13"/>
    <col width="31.33203125" bestFit="1" customWidth="1" min="14" max="14"/>
    <col width="32.5" bestFit="1" customWidth="1" min="15" max="15"/>
    <col width="34" bestFit="1" customWidth="1" min="16" max="16"/>
    <col width="32.5" bestFit="1" customWidth="1" min="17" max="17"/>
    <col width="35.33203125" bestFit="1" customWidth="1" min="18" max="18"/>
    <col width="33.83203125" bestFit="1" customWidth="1" min="19" max="19"/>
    <col width="34.83203125" bestFit="1" customWidth="1" min="20" max="20"/>
    <col width="33.83203125" bestFit="1" customWidth="1" min="21" max="21"/>
    <col width="35.33203125" bestFit="1" customWidth="1" min="22" max="22"/>
    <col width="33.83203125" bestFit="1" customWidth="1" min="23" max="23"/>
    <col width="30.1640625" bestFit="1" customWidth="1" min="24" max="24"/>
    <col width="29.33203125" bestFit="1" customWidth="1" min="25" max="25"/>
    <col width="30.1640625" bestFit="1" customWidth="1" min="26" max="26"/>
    <col width="30.6640625" bestFit="1" customWidth="1" min="27" max="27"/>
    <col width="32.33203125" bestFit="1" customWidth="1" min="28" max="28"/>
    <col width="30.6640625" bestFit="1" customWidth="1" min="29" max="29"/>
    <col width="32.33203125" bestFit="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23" customHeight="1">
      <c r="A1" s="41" t="inlineStr">
        <is>
          <t>#</t>
        </is>
      </c>
      <c r="B1" s="42" t="inlineStr">
        <is>
          <t>Student Name</t>
        </is>
      </c>
      <c r="C1" s="43" t="inlineStr">
        <is>
          <t>Week 1</t>
        </is>
      </c>
      <c r="D1" s="44" t="n"/>
      <c r="E1" s="43" t="inlineStr">
        <is>
          <t>Week 2</t>
        </is>
      </c>
      <c r="F1" s="44" t="n"/>
      <c r="G1" s="43" t="inlineStr">
        <is>
          <t>Week 3</t>
        </is>
      </c>
      <c r="H1" s="44" t="n"/>
      <c r="I1" s="43" t="inlineStr">
        <is>
          <t>Week 4</t>
        </is>
      </c>
      <c r="J1" s="44" t="n"/>
      <c r="K1" s="43" t="inlineStr">
        <is>
          <t>Week 5</t>
        </is>
      </c>
      <c r="L1" s="44" t="n"/>
      <c r="M1" s="43" t="inlineStr">
        <is>
          <t>Week 6</t>
        </is>
      </c>
      <c r="N1" s="44" t="n"/>
      <c r="O1" s="43" t="inlineStr">
        <is>
          <t>Week 7</t>
        </is>
      </c>
      <c r="P1" s="44" t="n"/>
      <c r="Q1" s="43" t="inlineStr">
        <is>
          <t>Week 8</t>
        </is>
      </c>
      <c r="R1" s="44" t="n"/>
      <c r="S1" s="43" t="inlineStr">
        <is>
          <t>Week 9</t>
        </is>
      </c>
      <c r="T1" s="44" t="n"/>
      <c r="U1" s="43" t="inlineStr">
        <is>
          <t>Week 10</t>
        </is>
      </c>
      <c r="V1" s="44" t="n"/>
      <c r="W1" s="43" t="inlineStr">
        <is>
          <t>Week 11</t>
        </is>
      </c>
      <c r="X1" s="44" t="n"/>
      <c r="Y1" s="43" t="inlineStr">
        <is>
          <t>Week 12</t>
        </is>
      </c>
      <c r="Z1" s="44" t="n"/>
      <c r="AA1" s="43" t="inlineStr">
        <is>
          <t>Week 13</t>
        </is>
      </c>
      <c r="AB1" s="44" t="n"/>
      <c r="AC1" s="43" t="inlineStr">
        <is>
          <t>Week 14</t>
        </is>
      </c>
      <c r="AD1" s="44" t="n"/>
      <c r="AE1" s="34" t="inlineStr">
        <is>
          <t>MIDTERM</t>
        </is>
      </c>
      <c r="AF1" s="45" t="n"/>
      <c r="AG1" s="34" t="inlineStr">
        <is>
          <t>FINAL</t>
        </is>
      </c>
      <c r="AH1" s="45" t="n"/>
      <c r="AI1" s="34" t="inlineStr">
        <is>
          <t>TOTAL</t>
        </is>
      </c>
      <c r="AJ1" s="45" t="n"/>
    </row>
    <row r="2" ht="33" customHeight="1" thickBot="1">
      <c r="A2" s="46" t="n"/>
      <c r="B2" s="47" t="n"/>
      <c r="C2" s="48" t="inlineStr">
        <is>
          <t>Monday, July 21, 2025</t>
        </is>
      </c>
      <c r="D2" s="48" t="inlineStr">
        <is>
          <t>Thursday, July 24, 2025</t>
        </is>
      </c>
      <c r="E2" s="48" t="inlineStr">
        <is>
          <t>Monday, July 28, 2025</t>
        </is>
      </c>
      <c r="F2" s="48" t="inlineStr">
        <is>
          <t xml:space="preserve">	Thursday, July 31, 2025</t>
        </is>
      </c>
      <c r="G2" s="48" t="inlineStr">
        <is>
          <t>Monday, August 4, 2025</t>
        </is>
      </c>
      <c r="H2" s="48" t="inlineStr">
        <is>
          <t>Thursday, August 7, 2025</t>
        </is>
      </c>
      <c r="I2" s="48" t="inlineStr">
        <is>
          <t>Monday, August 11, 2025</t>
        </is>
      </c>
      <c r="J2" s="48" t="inlineStr">
        <is>
          <t>Thursday, August 14, 2025</t>
        </is>
      </c>
      <c r="K2" s="48" t="inlineStr">
        <is>
          <t>Monday, August 18, 2025</t>
        </is>
      </c>
      <c r="L2" s="48" t="inlineStr">
        <is>
          <t>Thursday, August 21, 2025</t>
        </is>
      </c>
      <c r="M2" s="48" t="inlineStr">
        <is>
          <t>Monday, August 25, 2025</t>
        </is>
      </c>
      <c r="N2" s="48" t="inlineStr">
        <is>
          <t>Thursday, August 28, 2025</t>
        </is>
      </c>
      <c r="O2" s="48" t="inlineStr">
        <is>
          <t>Monday, September 1, 2025</t>
        </is>
      </c>
      <c r="P2" s="48" t="inlineStr">
        <is>
          <t>Thursday, September 4, 2025</t>
        </is>
      </c>
      <c r="Q2" s="48" t="inlineStr">
        <is>
          <t>Monday, September 8, 2025</t>
        </is>
      </c>
      <c r="R2" s="48" t="inlineStr">
        <is>
          <t>Thursday, September 11, 2025</t>
        </is>
      </c>
      <c r="S2" s="48" t="inlineStr">
        <is>
          <t>Monday, September 15, 2025</t>
        </is>
      </c>
      <c r="T2" s="48" t="inlineStr">
        <is>
          <t>Thursday, September 18, 2025</t>
        </is>
      </c>
      <c r="U2" s="48" t="inlineStr">
        <is>
          <t>Monday, September 22, 2025</t>
        </is>
      </c>
      <c r="V2" s="48" t="inlineStr">
        <is>
          <t>Thursday, September 25, 2025</t>
        </is>
      </c>
      <c r="W2" s="48" t="inlineStr">
        <is>
          <t>Monday, September 29, 2025</t>
        </is>
      </c>
      <c r="X2" s="48" t="inlineStr">
        <is>
          <t>Thursday, October 2, 2025</t>
        </is>
      </c>
      <c r="Y2" s="48" t="inlineStr">
        <is>
          <t>Monday, October 6, 2025</t>
        </is>
      </c>
      <c r="Z2" s="48" t="inlineStr">
        <is>
          <t>Thursday, October 9, 2025</t>
        </is>
      </c>
      <c r="AA2" s="48" t="inlineStr">
        <is>
          <t>Monday, October 13, 2025</t>
        </is>
      </c>
      <c r="AB2" s="48" t="inlineStr">
        <is>
          <t>Thursday, October 16, 2025</t>
        </is>
      </c>
      <c r="AC2" s="48" t="inlineStr">
        <is>
          <t>Monday, October 20, 2025</t>
        </is>
      </c>
      <c r="AD2" s="48" t="inlineStr">
        <is>
          <t>Thursday, October 23, 2025</t>
        </is>
      </c>
      <c r="AE2" s="49" t="n"/>
      <c r="AF2" s="50" t="n"/>
      <c r="AG2" s="49" t="n"/>
      <c r="AH2" s="50" t="n"/>
      <c r="AI2" s="49" t="n"/>
      <c r="AJ2" s="50" t="n"/>
    </row>
    <row r="3" ht="25" customFormat="1" customHeight="1" s="5">
      <c r="A3" s="51">
        <f>'midterms'!A3</f>
        <v/>
      </c>
      <c r="B3" s="52">
        <f>'midterms'!B3</f>
        <v/>
      </c>
      <c r="C3" s="59">
        <f>IF('midterms'!C3="","",'midterms'!C3)</f>
        <v/>
      </c>
      <c r="D3" s="59">
        <f>IF('midterms'!D3="","",'midterms'!D3)</f>
        <v/>
      </c>
      <c r="E3" s="59">
        <f>IF('midterms'!E3="","",'midterms'!E3)</f>
        <v/>
      </c>
      <c r="F3" s="59">
        <f>IF('midterms'!F3="","",'midterms'!F3)</f>
        <v/>
      </c>
      <c r="G3" s="59">
        <f>IF('midterms'!G3="","",'midterms'!G3)</f>
        <v/>
      </c>
      <c r="H3" s="59">
        <f>IF('midterms'!H3="","",'midterms'!H3)</f>
        <v/>
      </c>
      <c r="I3" s="59">
        <f>IF('midterms'!I3="","",'midterms'!I3)</f>
        <v/>
      </c>
      <c r="J3" s="59">
        <f>IF('midterms'!J3="","",'midterms'!J3)</f>
        <v/>
      </c>
      <c r="K3" s="59">
        <f>IF('midterms'!K3="","",'midterms'!K3)</f>
        <v/>
      </c>
      <c r="L3" s="59">
        <f>IF('midterms'!L3="","",'midterms'!L3)</f>
        <v/>
      </c>
      <c r="M3" s="59">
        <f>IF('midterms'!M3="","",'midterms'!M3)</f>
        <v/>
      </c>
      <c r="N3" s="59">
        <f>IF('midterms'!N3="","",'midterms'!N3)</f>
        <v/>
      </c>
      <c r="O3" s="59">
        <f>IF('midterms'!O3="","",'midterms'!O3)</f>
        <v/>
      </c>
      <c r="P3" s="59">
        <f>IF('midterms'!P3="","",'midterms'!P3)</f>
        <v/>
      </c>
      <c r="Q3" s="59">
        <f>IF('finals'!C3="","",'finals'!C3)</f>
        <v/>
      </c>
      <c r="R3" s="59">
        <f>IF('finals'!D3="","",'finals'!D3)</f>
        <v/>
      </c>
      <c r="S3" s="59">
        <f>IF('finals'!E3="","",'finals'!E3)</f>
        <v/>
      </c>
      <c r="T3" s="59">
        <f>IF('finals'!F3="","",'finals'!F3)</f>
        <v/>
      </c>
      <c r="U3" s="59">
        <f>IF('finals'!G3="","",'finals'!G3)</f>
        <v/>
      </c>
      <c r="V3" s="59">
        <f>IF('finals'!H3="","",'finals'!H3)</f>
        <v/>
      </c>
      <c r="W3" s="59">
        <f>IF('finals'!I3="","",'finals'!I3)</f>
        <v/>
      </c>
      <c r="X3" s="59">
        <f>IF('finals'!J3="","",'finals'!J3)</f>
        <v/>
      </c>
      <c r="Y3" s="59">
        <f>IF('finals'!K3="","",'finals'!K3)</f>
        <v/>
      </c>
      <c r="Z3" s="59">
        <f>IF('finals'!L3="","",'finals'!L3)</f>
        <v/>
      </c>
      <c r="AA3" s="59">
        <f>IF('finals'!M3="","",'finals'!M3)</f>
        <v/>
      </c>
      <c r="AB3" s="59">
        <f>IF('finals'!N3="","",'finals'!N3)</f>
        <v/>
      </c>
      <c r="AC3" s="59">
        <f>IF('finals'!O3="","",'finals'!O3)</f>
        <v/>
      </c>
      <c r="AD3" s="59">
        <f>IF('finals'!P3="","",'finals'!P3)</f>
        <v/>
      </c>
      <c r="AE3" s="38">
        <f>'midterms'!Q3</f>
        <v/>
      </c>
      <c r="AF3" s="54" t="n"/>
      <c r="AG3" s="38">
        <f>'finals'!Q3</f>
        <v/>
      </c>
      <c r="AH3" s="54" t="n"/>
      <c r="AI3" s="38">
        <f>IF(OR(AE3="",AG3=""),IF(AND(AE3="",AG3=""),"",IF(AE3="",AG3,AE3)),AE3+AG3)</f>
        <v/>
      </c>
      <c r="AJ3" s="54" t="n"/>
    </row>
    <row r="4" ht="25" customFormat="1" customHeight="1" s="5">
      <c r="A4" s="55">
        <f>'midterms'!A4</f>
        <v/>
      </c>
      <c r="B4" s="56">
        <f>'midterms'!B4</f>
        <v/>
      </c>
      <c r="C4" s="60">
        <f>IF('midterms'!C4="","",'midterms'!C4)</f>
        <v/>
      </c>
      <c r="D4" s="60">
        <f>IF('midterms'!D4="","",'midterms'!D4)</f>
        <v/>
      </c>
      <c r="E4" s="60">
        <f>IF('midterms'!E4="","",'midterms'!E4)</f>
        <v/>
      </c>
      <c r="F4" s="60">
        <f>IF('midterms'!F4="","",'midterms'!F4)</f>
        <v/>
      </c>
      <c r="G4" s="60">
        <f>IF('midterms'!G4="","",'midterms'!G4)</f>
        <v/>
      </c>
      <c r="H4" s="60">
        <f>IF('midterms'!H4="","",'midterms'!H4)</f>
        <v/>
      </c>
      <c r="I4" s="60">
        <f>IF('midterms'!I4="","",'midterms'!I4)</f>
        <v/>
      </c>
      <c r="J4" s="60">
        <f>IF('midterms'!J4="","",'midterms'!J4)</f>
        <v/>
      </c>
      <c r="K4" s="60">
        <f>IF('midterms'!K4="","",'midterms'!K4)</f>
        <v/>
      </c>
      <c r="L4" s="60">
        <f>IF('midterms'!L4="","",'midterms'!L4)</f>
        <v/>
      </c>
      <c r="M4" s="60">
        <f>IF('midterms'!M4="","",'midterms'!M4)</f>
        <v/>
      </c>
      <c r="N4" s="60">
        <f>IF('midterms'!N4="","",'midterms'!N4)</f>
        <v/>
      </c>
      <c r="O4" s="60">
        <f>IF('midterms'!O4="","",'midterms'!O4)</f>
        <v/>
      </c>
      <c r="P4" s="60">
        <f>IF('midterms'!P4="","",'midterms'!P4)</f>
        <v/>
      </c>
      <c r="Q4" s="60">
        <f>IF('finals'!C4="","",'finals'!C4)</f>
        <v/>
      </c>
      <c r="R4" s="60">
        <f>IF('finals'!D4="","",'finals'!D4)</f>
        <v/>
      </c>
      <c r="S4" s="60">
        <f>IF('finals'!E4="","",'finals'!E4)</f>
        <v/>
      </c>
      <c r="T4" s="60">
        <f>IF('finals'!F4="","",'finals'!F4)</f>
        <v/>
      </c>
      <c r="U4" s="60">
        <f>IF('finals'!G4="","",'finals'!G4)</f>
        <v/>
      </c>
      <c r="V4" s="60">
        <f>IF('finals'!H4="","",'finals'!H4)</f>
        <v/>
      </c>
      <c r="W4" s="60">
        <f>IF('finals'!I4="","",'finals'!I4)</f>
        <v/>
      </c>
      <c r="X4" s="60">
        <f>IF('finals'!J4="","",'finals'!J4)</f>
        <v/>
      </c>
      <c r="Y4" s="60">
        <f>IF('finals'!K4="","",'finals'!K4)</f>
        <v/>
      </c>
      <c r="Z4" s="60">
        <f>IF('finals'!L4="","",'finals'!L4)</f>
        <v/>
      </c>
      <c r="AA4" s="60">
        <f>IF('finals'!M4="","",'finals'!M4)</f>
        <v/>
      </c>
      <c r="AB4" s="60">
        <f>IF('finals'!N4="","",'finals'!N4)</f>
        <v/>
      </c>
      <c r="AC4" s="60">
        <f>IF('finals'!O4="","",'finals'!O4)</f>
        <v/>
      </c>
      <c r="AD4" s="60">
        <f>IF('finals'!P4="","",'finals'!P4)</f>
        <v/>
      </c>
      <c r="AE4" s="40">
        <f>'midterms'!Q4</f>
        <v/>
      </c>
      <c r="AF4" s="54" t="n"/>
      <c r="AG4" s="40">
        <f>'finals'!Q4</f>
        <v/>
      </c>
      <c r="AH4" s="54" t="n"/>
      <c r="AI4" s="40">
        <f>IF(OR(AE4="",AG4=""),IF(AND(AE4="",AG4=""),"",IF(AE4="",AG4,AE4)),AE4+AG4)</f>
        <v/>
      </c>
      <c r="AJ4" s="54" t="n"/>
    </row>
    <row r="5" ht="25" customFormat="1" customHeight="1" s="5">
      <c r="A5" s="51">
        <f>'midterms'!A5</f>
        <v/>
      </c>
      <c r="B5" s="52">
        <f>'midterms'!B5</f>
        <v/>
      </c>
      <c r="C5" s="59">
        <f>IF('midterms'!C5="","",'midterms'!C5)</f>
        <v/>
      </c>
      <c r="D5" s="59">
        <f>IF('midterms'!D5="","",'midterms'!D5)</f>
        <v/>
      </c>
      <c r="E5" s="59">
        <f>IF('midterms'!E5="","",'midterms'!E5)</f>
        <v/>
      </c>
      <c r="F5" s="59">
        <f>IF('midterms'!F5="","",'midterms'!F5)</f>
        <v/>
      </c>
      <c r="G5" s="59">
        <f>IF('midterms'!G5="","",'midterms'!G5)</f>
        <v/>
      </c>
      <c r="H5" s="59">
        <f>IF('midterms'!H5="","",'midterms'!H5)</f>
        <v/>
      </c>
      <c r="I5" s="59">
        <f>IF('midterms'!I5="","",'midterms'!I5)</f>
        <v/>
      </c>
      <c r="J5" s="59">
        <f>IF('midterms'!J5="","",'midterms'!J5)</f>
        <v/>
      </c>
      <c r="K5" s="59">
        <f>IF('midterms'!K5="","",'midterms'!K5)</f>
        <v/>
      </c>
      <c r="L5" s="59">
        <f>IF('midterms'!L5="","",'midterms'!L5)</f>
        <v/>
      </c>
      <c r="M5" s="59">
        <f>IF('midterms'!M5="","",'midterms'!M5)</f>
        <v/>
      </c>
      <c r="N5" s="59">
        <f>IF('midterms'!N5="","",'midterms'!N5)</f>
        <v/>
      </c>
      <c r="O5" s="59">
        <f>IF('midterms'!O5="","",'midterms'!O5)</f>
        <v/>
      </c>
      <c r="P5" s="59">
        <f>IF('midterms'!P5="","",'midterms'!P5)</f>
        <v/>
      </c>
      <c r="Q5" s="59">
        <f>IF('finals'!C5="","",'finals'!C5)</f>
        <v/>
      </c>
      <c r="R5" s="59">
        <f>IF('finals'!D5="","",'finals'!D5)</f>
        <v/>
      </c>
      <c r="S5" s="59">
        <f>IF('finals'!E5="","",'finals'!E5)</f>
        <v/>
      </c>
      <c r="T5" s="59">
        <f>IF('finals'!F5="","",'finals'!F5)</f>
        <v/>
      </c>
      <c r="U5" s="59">
        <f>IF('finals'!G5="","",'finals'!G5)</f>
        <v/>
      </c>
      <c r="V5" s="59">
        <f>IF('finals'!H5="","",'finals'!H5)</f>
        <v/>
      </c>
      <c r="W5" s="59">
        <f>IF('finals'!I5="","",'finals'!I5)</f>
        <v/>
      </c>
      <c r="X5" s="59">
        <f>IF('finals'!J5="","",'finals'!J5)</f>
        <v/>
      </c>
      <c r="Y5" s="59">
        <f>IF('finals'!K5="","",'finals'!K5)</f>
        <v/>
      </c>
      <c r="Z5" s="59">
        <f>IF('finals'!L5="","",'finals'!L5)</f>
        <v/>
      </c>
      <c r="AA5" s="59">
        <f>IF('finals'!M5="","",'finals'!M5)</f>
        <v/>
      </c>
      <c r="AB5" s="59">
        <f>IF('finals'!N5="","",'finals'!N5)</f>
        <v/>
      </c>
      <c r="AC5" s="59">
        <f>IF('finals'!O5="","",'finals'!O5)</f>
        <v/>
      </c>
      <c r="AD5" s="59">
        <f>IF('finals'!P5="","",'finals'!P5)</f>
        <v/>
      </c>
      <c r="AE5" s="38">
        <f>'midterms'!Q5</f>
        <v/>
      </c>
      <c r="AF5" s="54" t="n"/>
      <c r="AG5" s="38">
        <f>'finals'!Q5</f>
        <v/>
      </c>
      <c r="AH5" s="54" t="n"/>
      <c r="AI5" s="38">
        <f>IF(OR(AE5="",AG5=""),IF(AND(AE5="",AG5=""),"",IF(AE5="",AG5,AE5)),AE5+AG5)</f>
        <v/>
      </c>
      <c r="AJ5" s="54" t="n"/>
    </row>
    <row r="6" ht="25" customFormat="1" customHeight="1" s="5">
      <c r="A6" s="55">
        <f>'midterms'!A6</f>
        <v/>
      </c>
      <c r="B6" s="56">
        <f>'midterms'!B6</f>
        <v/>
      </c>
      <c r="C6" s="60">
        <f>IF('midterms'!C6="","",'midterms'!C6)</f>
        <v/>
      </c>
      <c r="D6" s="60">
        <f>IF('midterms'!D6="","",'midterms'!D6)</f>
        <v/>
      </c>
      <c r="E6" s="60">
        <f>IF('midterms'!E6="","",'midterms'!E6)</f>
        <v/>
      </c>
      <c r="F6" s="60">
        <f>IF('midterms'!F6="","",'midterms'!F6)</f>
        <v/>
      </c>
      <c r="G6" s="60">
        <f>IF('midterms'!G6="","",'midterms'!G6)</f>
        <v/>
      </c>
      <c r="H6" s="60">
        <f>IF('midterms'!H6="","",'midterms'!H6)</f>
        <v/>
      </c>
      <c r="I6" s="60">
        <f>IF('midterms'!I6="","",'midterms'!I6)</f>
        <v/>
      </c>
      <c r="J6" s="60">
        <f>IF('midterms'!J6="","",'midterms'!J6)</f>
        <v/>
      </c>
      <c r="K6" s="60">
        <f>IF('midterms'!K6="","",'midterms'!K6)</f>
        <v/>
      </c>
      <c r="L6" s="60">
        <f>IF('midterms'!L6="","",'midterms'!L6)</f>
        <v/>
      </c>
      <c r="M6" s="60">
        <f>IF('midterms'!M6="","",'midterms'!M6)</f>
        <v/>
      </c>
      <c r="N6" s="60">
        <f>IF('midterms'!N6="","",'midterms'!N6)</f>
        <v/>
      </c>
      <c r="O6" s="60">
        <f>IF('midterms'!O6="","",'midterms'!O6)</f>
        <v/>
      </c>
      <c r="P6" s="60">
        <f>IF('midterms'!P6="","",'midterms'!P6)</f>
        <v/>
      </c>
      <c r="Q6" s="60">
        <f>IF('finals'!C6="","",'finals'!C6)</f>
        <v/>
      </c>
      <c r="R6" s="60">
        <f>IF('finals'!D6="","",'finals'!D6)</f>
        <v/>
      </c>
      <c r="S6" s="60">
        <f>IF('finals'!E6="","",'finals'!E6)</f>
        <v/>
      </c>
      <c r="T6" s="60">
        <f>IF('finals'!F6="","",'finals'!F6)</f>
        <v/>
      </c>
      <c r="U6" s="60">
        <f>IF('finals'!G6="","",'finals'!G6)</f>
        <v/>
      </c>
      <c r="V6" s="60">
        <f>IF('finals'!H6="","",'finals'!H6)</f>
        <v/>
      </c>
      <c r="W6" s="60">
        <f>IF('finals'!I6="","",'finals'!I6)</f>
        <v/>
      </c>
      <c r="X6" s="60">
        <f>IF('finals'!J6="","",'finals'!J6)</f>
        <v/>
      </c>
      <c r="Y6" s="60">
        <f>IF('finals'!K6="","",'finals'!K6)</f>
        <v/>
      </c>
      <c r="Z6" s="60">
        <f>IF('finals'!L6="","",'finals'!L6)</f>
        <v/>
      </c>
      <c r="AA6" s="60">
        <f>IF('finals'!M6="","",'finals'!M6)</f>
        <v/>
      </c>
      <c r="AB6" s="60">
        <f>IF('finals'!N6="","",'finals'!N6)</f>
        <v/>
      </c>
      <c r="AC6" s="60">
        <f>IF('finals'!O6="","",'finals'!O6)</f>
        <v/>
      </c>
      <c r="AD6" s="60">
        <f>IF('finals'!P6="","",'finals'!P6)</f>
        <v/>
      </c>
      <c r="AE6" s="40">
        <f>'midterms'!Q6</f>
        <v/>
      </c>
      <c r="AF6" s="54" t="n"/>
      <c r="AG6" s="40">
        <f>'finals'!Q6</f>
        <v/>
      </c>
      <c r="AH6" s="54" t="n"/>
      <c r="AI6" s="40">
        <f>IF(OR(AE6="",AG6=""),IF(AND(AE6="",AG6=""),"",IF(AE6="",AG6,AE6)),AE6+AG6)</f>
        <v/>
      </c>
      <c r="AJ6" s="54" t="n"/>
    </row>
    <row r="7" ht="25" customFormat="1" customHeight="1" s="5">
      <c r="A7" s="51">
        <f>'midterms'!A7</f>
        <v/>
      </c>
      <c r="B7" s="52">
        <f>'midterms'!B7</f>
        <v/>
      </c>
      <c r="C7" s="59">
        <f>IF('midterms'!C7="","",'midterms'!C7)</f>
        <v/>
      </c>
      <c r="D7" s="59">
        <f>IF('midterms'!D7="","",'midterms'!D7)</f>
        <v/>
      </c>
      <c r="E7" s="59">
        <f>IF('midterms'!E7="","",'midterms'!E7)</f>
        <v/>
      </c>
      <c r="F7" s="59">
        <f>IF('midterms'!F7="","",'midterms'!F7)</f>
        <v/>
      </c>
      <c r="G7" s="59">
        <f>IF('midterms'!G7="","",'midterms'!G7)</f>
        <v/>
      </c>
      <c r="H7" s="59">
        <f>IF('midterms'!H7="","",'midterms'!H7)</f>
        <v/>
      </c>
      <c r="I7" s="59">
        <f>IF('midterms'!I7="","",'midterms'!I7)</f>
        <v/>
      </c>
      <c r="J7" s="59">
        <f>IF('midterms'!J7="","",'midterms'!J7)</f>
        <v/>
      </c>
      <c r="K7" s="59">
        <f>IF('midterms'!K7="","",'midterms'!K7)</f>
        <v/>
      </c>
      <c r="L7" s="59">
        <f>IF('midterms'!L7="","",'midterms'!L7)</f>
        <v/>
      </c>
      <c r="M7" s="59">
        <f>IF('midterms'!M7="","",'midterms'!M7)</f>
        <v/>
      </c>
      <c r="N7" s="59">
        <f>IF('midterms'!N7="","",'midterms'!N7)</f>
        <v/>
      </c>
      <c r="O7" s="59">
        <f>IF('midterms'!O7="","",'midterms'!O7)</f>
        <v/>
      </c>
      <c r="P7" s="59">
        <f>IF('midterms'!P7="","",'midterms'!P7)</f>
        <v/>
      </c>
      <c r="Q7" s="59">
        <f>IF('finals'!C7="","",'finals'!C7)</f>
        <v/>
      </c>
      <c r="R7" s="59">
        <f>IF('finals'!D7="","",'finals'!D7)</f>
        <v/>
      </c>
      <c r="S7" s="59">
        <f>IF('finals'!E7="","",'finals'!E7)</f>
        <v/>
      </c>
      <c r="T7" s="59">
        <f>IF('finals'!F7="","",'finals'!F7)</f>
        <v/>
      </c>
      <c r="U7" s="59">
        <f>IF('finals'!G7="","",'finals'!G7)</f>
        <v/>
      </c>
      <c r="V7" s="59">
        <f>IF('finals'!H7="","",'finals'!H7)</f>
        <v/>
      </c>
      <c r="W7" s="59">
        <f>IF('finals'!I7="","",'finals'!I7)</f>
        <v/>
      </c>
      <c r="X7" s="59">
        <f>IF('finals'!J7="","",'finals'!J7)</f>
        <v/>
      </c>
      <c r="Y7" s="59">
        <f>IF('finals'!K7="","",'finals'!K7)</f>
        <v/>
      </c>
      <c r="Z7" s="59">
        <f>IF('finals'!L7="","",'finals'!L7)</f>
        <v/>
      </c>
      <c r="AA7" s="59">
        <f>IF('finals'!M7="","",'finals'!M7)</f>
        <v/>
      </c>
      <c r="AB7" s="59">
        <f>IF('finals'!N7="","",'finals'!N7)</f>
        <v/>
      </c>
      <c r="AC7" s="59">
        <f>IF('finals'!O7="","",'finals'!O7)</f>
        <v/>
      </c>
      <c r="AD7" s="59">
        <f>IF('finals'!P7="","",'finals'!P7)</f>
        <v/>
      </c>
      <c r="AE7" s="38">
        <f>'midterms'!Q7</f>
        <v/>
      </c>
      <c r="AF7" s="54" t="n"/>
      <c r="AG7" s="38">
        <f>'finals'!Q7</f>
        <v/>
      </c>
      <c r="AH7" s="54" t="n"/>
      <c r="AI7" s="38">
        <f>IF(OR(AE7="",AG7=""),IF(AND(AE7="",AG7=""),"",IF(AE7="",AG7,AE7)),AE7+AG7)</f>
        <v/>
      </c>
      <c r="AJ7" s="54" t="n"/>
    </row>
    <row r="8" ht="25" customFormat="1" customHeight="1" s="5">
      <c r="A8" s="55">
        <f>'midterms'!A8</f>
        <v/>
      </c>
      <c r="B8" s="56">
        <f>'midterms'!B8</f>
        <v/>
      </c>
      <c r="C8" s="60">
        <f>IF('midterms'!C8="","",'midterms'!C8)</f>
        <v/>
      </c>
      <c r="D8" s="60">
        <f>IF('midterms'!D8="","",'midterms'!D8)</f>
        <v/>
      </c>
      <c r="E8" s="60">
        <f>IF('midterms'!E8="","",'midterms'!E8)</f>
        <v/>
      </c>
      <c r="F8" s="60">
        <f>IF('midterms'!F8="","",'midterms'!F8)</f>
        <v/>
      </c>
      <c r="G8" s="60">
        <f>IF('midterms'!G8="","",'midterms'!G8)</f>
        <v/>
      </c>
      <c r="H8" s="60">
        <f>IF('midterms'!H8="","",'midterms'!H8)</f>
        <v/>
      </c>
      <c r="I8" s="60">
        <f>IF('midterms'!I8="","",'midterms'!I8)</f>
        <v/>
      </c>
      <c r="J8" s="60">
        <f>IF('midterms'!J8="","",'midterms'!J8)</f>
        <v/>
      </c>
      <c r="K8" s="60">
        <f>IF('midterms'!K8="","",'midterms'!K8)</f>
        <v/>
      </c>
      <c r="L8" s="60">
        <f>IF('midterms'!L8="","",'midterms'!L8)</f>
        <v/>
      </c>
      <c r="M8" s="60">
        <f>IF('midterms'!M8="","",'midterms'!M8)</f>
        <v/>
      </c>
      <c r="N8" s="60">
        <f>IF('midterms'!N8="","",'midterms'!N8)</f>
        <v/>
      </c>
      <c r="O8" s="60">
        <f>IF('midterms'!O8="","",'midterms'!O8)</f>
        <v/>
      </c>
      <c r="P8" s="60">
        <f>IF('midterms'!P8="","",'midterms'!P8)</f>
        <v/>
      </c>
      <c r="Q8" s="60">
        <f>IF('finals'!C8="","",'finals'!C8)</f>
        <v/>
      </c>
      <c r="R8" s="60">
        <f>IF('finals'!D8="","",'finals'!D8)</f>
        <v/>
      </c>
      <c r="S8" s="60">
        <f>IF('finals'!E8="","",'finals'!E8)</f>
        <v/>
      </c>
      <c r="T8" s="60">
        <f>IF('finals'!F8="","",'finals'!F8)</f>
        <v/>
      </c>
      <c r="U8" s="60">
        <f>IF('finals'!G8="","",'finals'!G8)</f>
        <v/>
      </c>
      <c r="V8" s="60">
        <f>IF('finals'!H8="","",'finals'!H8)</f>
        <v/>
      </c>
      <c r="W8" s="60">
        <f>IF('finals'!I8="","",'finals'!I8)</f>
        <v/>
      </c>
      <c r="X8" s="60">
        <f>IF('finals'!J8="","",'finals'!J8)</f>
        <v/>
      </c>
      <c r="Y8" s="60">
        <f>IF('finals'!K8="","",'finals'!K8)</f>
        <v/>
      </c>
      <c r="Z8" s="60">
        <f>IF('finals'!L8="","",'finals'!L8)</f>
        <v/>
      </c>
      <c r="AA8" s="60">
        <f>IF('finals'!M8="","",'finals'!M8)</f>
        <v/>
      </c>
      <c r="AB8" s="60">
        <f>IF('finals'!N8="","",'finals'!N8)</f>
        <v/>
      </c>
      <c r="AC8" s="60">
        <f>IF('finals'!O8="","",'finals'!O8)</f>
        <v/>
      </c>
      <c r="AD8" s="60">
        <f>IF('finals'!P8="","",'finals'!P8)</f>
        <v/>
      </c>
      <c r="AE8" s="40">
        <f>'midterms'!Q8</f>
        <v/>
      </c>
      <c r="AF8" s="54" t="n"/>
      <c r="AG8" s="40">
        <f>'finals'!Q8</f>
        <v/>
      </c>
      <c r="AH8" s="54" t="n"/>
      <c r="AI8" s="40">
        <f>IF(OR(AE8="",AG8=""),IF(AND(AE8="",AG8=""),"",IF(AE8="",AG8,AE8)),AE8+AG8)</f>
        <v/>
      </c>
      <c r="AJ8" s="54" t="n"/>
    </row>
    <row r="9" ht="25" customFormat="1" customHeight="1" s="5">
      <c r="A9" s="51">
        <f>'midterms'!A9</f>
        <v/>
      </c>
      <c r="B9" s="52">
        <f>'midterms'!B9</f>
        <v/>
      </c>
      <c r="C9" s="59">
        <f>IF('midterms'!C9="","",'midterms'!C9)</f>
        <v/>
      </c>
      <c r="D9" s="59">
        <f>IF('midterms'!D9="","",'midterms'!D9)</f>
        <v/>
      </c>
      <c r="E9" s="59">
        <f>IF('midterms'!E9="","",'midterms'!E9)</f>
        <v/>
      </c>
      <c r="F9" s="59">
        <f>IF('midterms'!F9="","",'midterms'!F9)</f>
        <v/>
      </c>
      <c r="G9" s="59">
        <f>IF('midterms'!G9="","",'midterms'!G9)</f>
        <v/>
      </c>
      <c r="H9" s="59">
        <f>IF('midterms'!H9="","",'midterms'!H9)</f>
        <v/>
      </c>
      <c r="I9" s="59">
        <f>IF('midterms'!I9="","",'midterms'!I9)</f>
        <v/>
      </c>
      <c r="J9" s="59">
        <f>IF('midterms'!J9="","",'midterms'!J9)</f>
        <v/>
      </c>
      <c r="K9" s="59">
        <f>IF('midterms'!K9="","",'midterms'!K9)</f>
        <v/>
      </c>
      <c r="L9" s="59">
        <f>IF('midterms'!L9="","",'midterms'!L9)</f>
        <v/>
      </c>
      <c r="M9" s="59">
        <f>IF('midterms'!M9="","",'midterms'!M9)</f>
        <v/>
      </c>
      <c r="N9" s="59">
        <f>IF('midterms'!N9="","",'midterms'!N9)</f>
        <v/>
      </c>
      <c r="O9" s="59">
        <f>IF('midterms'!O9="","",'midterms'!O9)</f>
        <v/>
      </c>
      <c r="P9" s="59">
        <f>IF('midterms'!P9="","",'midterms'!P9)</f>
        <v/>
      </c>
      <c r="Q9" s="59">
        <f>IF('finals'!C9="","",'finals'!C9)</f>
        <v/>
      </c>
      <c r="R9" s="59">
        <f>IF('finals'!D9="","",'finals'!D9)</f>
        <v/>
      </c>
      <c r="S9" s="59">
        <f>IF('finals'!E9="","",'finals'!E9)</f>
        <v/>
      </c>
      <c r="T9" s="59">
        <f>IF('finals'!F9="","",'finals'!F9)</f>
        <v/>
      </c>
      <c r="U9" s="59">
        <f>IF('finals'!G9="","",'finals'!G9)</f>
        <v/>
      </c>
      <c r="V9" s="59">
        <f>IF('finals'!H9="","",'finals'!H9)</f>
        <v/>
      </c>
      <c r="W9" s="59">
        <f>IF('finals'!I9="","",'finals'!I9)</f>
        <v/>
      </c>
      <c r="X9" s="59">
        <f>IF('finals'!J9="","",'finals'!J9)</f>
        <v/>
      </c>
      <c r="Y9" s="59">
        <f>IF('finals'!K9="","",'finals'!K9)</f>
        <v/>
      </c>
      <c r="Z9" s="59">
        <f>IF('finals'!L9="","",'finals'!L9)</f>
        <v/>
      </c>
      <c r="AA9" s="59">
        <f>IF('finals'!M9="","",'finals'!M9)</f>
        <v/>
      </c>
      <c r="AB9" s="59">
        <f>IF('finals'!N9="","",'finals'!N9)</f>
        <v/>
      </c>
      <c r="AC9" s="59">
        <f>IF('finals'!O9="","",'finals'!O9)</f>
        <v/>
      </c>
      <c r="AD9" s="59">
        <f>IF('finals'!P9="","",'finals'!P9)</f>
        <v/>
      </c>
      <c r="AE9" s="38">
        <f>'midterms'!Q9</f>
        <v/>
      </c>
      <c r="AF9" s="54" t="n"/>
      <c r="AG9" s="38">
        <f>'finals'!Q9</f>
        <v/>
      </c>
      <c r="AH9" s="54" t="n"/>
      <c r="AI9" s="38">
        <f>IF(OR(AE9="",AG9=""),IF(AND(AE9="",AG9=""),"",IF(AE9="",AG9,AE9)),AE9+AG9)</f>
        <v/>
      </c>
      <c r="AJ9" s="54" t="n"/>
    </row>
    <row r="10" ht="25" customFormat="1" customHeight="1" s="5">
      <c r="A10" s="55">
        <f>'midterms'!A10</f>
        <v/>
      </c>
      <c r="B10" s="56">
        <f>'midterms'!B10</f>
        <v/>
      </c>
      <c r="C10" s="60">
        <f>IF('midterms'!C10="","",'midterms'!C10)</f>
        <v/>
      </c>
      <c r="D10" s="60">
        <f>IF('midterms'!D10="","",'midterms'!D10)</f>
        <v/>
      </c>
      <c r="E10" s="60">
        <f>IF('midterms'!E10="","",'midterms'!E10)</f>
        <v/>
      </c>
      <c r="F10" s="60">
        <f>IF('midterms'!F10="","",'midterms'!F10)</f>
        <v/>
      </c>
      <c r="G10" s="60">
        <f>IF('midterms'!G10="","",'midterms'!G10)</f>
        <v/>
      </c>
      <c r="H10" s="60">
        <f>IF('midterms'!H10="","",'midterms'!H10)</f>
        <v/>
      </c>
      <c r="I10" s="60">
        <f>IF('midterms'!I10="","",'midterms'!I10)</f>
        <v/>
      </c>
      <c r="J10" s="60">
        <f>IF('midterms'!J10="","",'midterms'!J10)</f>
        <v/>
      </c>
      <c r="K10" s="60">
        <f>IF('midterms'!K10="","",'midterms'!K10)</f>
        <v/>
      </c>
      <c r="L10" s="60">
        <f>IF('midterms'!L10="","",'midterms'!L10)</f>
        <v/>
      </c>
      <c r="M10" s="60">
        <f>IF('midterms'!M10="","",'midterms'!M10)</f>
        <v/>
      </c>
      <c r="N10" s="60">
        <f>IF('midterms'!N10="","",'midterms'!N10)</f>
        <v/>
      </c>
      <c r="O10" s="60">
        <f>IF('midterms'!O10="","",'midterms'!O10)</f>
        <v/>
      </c>
      <c r="P10" s="60">
        <f>IF('midterms'!P10="","",'midterms'!P10)</f>
        <v/>
      </c>
      <c r="Q10" s="60">
        <f>IF('finals'!C10="","",'finals'!C10)</f>
        <v/>
      </c>
      <c r="R10" s="60">
        <f>IF('finals'!D10="","",'finals'!D10)</f>
        <v/>
      </c>
      <c r="S10" s="60">
        <f>IF('finals'!E10="","",'finals'!E10)</f>
        <v/>
      </c>
      <c r="T10" s="60">
        <f>IF('finals'!F10="","",'finals'!F10)</f>
        <v/>
      </c>
      <c r="U10" s="60">
        <f>IF('finals'!G10="","",'finals'!G10)</f>
        <v/>
      </c>
      <c r="V10" s="60">
        <f>IF('finals'!H10="","",'finals'!H10)</f>
        <v/>
      </c>
      <c r="W10" s="60">
        <f>IF('finals'!I10="","",'finals'!I10)</f>
        <v/>
      </c>
      <c r="X10" s="60">
        <f>IF('finals'!J10="","",'finals'!J10)</f>
        <v/>
      </c>
      <c r="Y10" s="60">
        <f>IF('finals'!K10="","",'finals'!K10)</f>
        <v/>
      </c>
      <c r="Z10" s="60">
        <f>IF('finals'!L10="","",'finals'!L10)</f>
        <v/>
      </c>
      <c r="AA10" s="60">
        <f>IF('finals'!M10="","",'finals'!M10)</f>
        <v/>
      </c>
      <c r="AB10" s="60">
        <f>IF('finals'!N10="","",'finals'!N10)</f>
        <v/>
      </c>
      <c r="AC10" s="60">
        <f>IF('finals'!O10="","",'finals'!O10)</f>
        <v/>
      </c>
      <c r="AD10" s="60">
        <f>IF('finals'!P10="","",'finals'!P10)</f>
        <v/>
      </c>
      <c r="AE10" s="40">
        <f>'midterms'!Q10</f>
        <v/>
      </c>
      <c r="AF10" s="54" t="n"/>
      <c r="AG10" s="40">
        <f>'finals'!Q10</f>
        <v/>
      </c>
      <c r="AH10" s="54" t="n"/>
      <c r="AI10" s="40">
        <f>IF(OR(AE10="",AG10=""),IF(AND(AE10="",AG10=""),"",IF(AE10="",AG10,AE10)),AE10+AG10)</f>
        <v/>
      </c>
      <c r="AJ10" s="54" t="n"/>
    </row>
    <row r="11" ht="25" customFormat="1" customHeight="1" s="5">
      <c r="A11" s="51">
        <f>'midterms'!A11</f>
        <v/>
      </c>
      <c r="B11" s="52">
        <f>'midterms'!B11</f>
        <v/>
      </c>
      <c r="C11" s="59">
        <f>IF('midterms'!C11="","",'midterms'!C11)</f>
        <v/>
      </c>
      <c r="D11" s="59">
        <f>IF('midterms'!D11="","",'midterms'!D11)</f>
        <v/>
      </c>
      <c r="E11" s="59">
        <f>IF('midterms'!E11="","",'midterms'!E11)</f>
        <v/>
      </c>
      <c r="F11" s="59">
        <f>IF('midterms'!F11="","",'midterms'!F11)</f>
        <v/>
      </c>
      <c r="G11" s="59">
        <f>IF('midterms'!G11="","",'midterms'!G11)</f>
        <v/>
      </c>
      <c r="H11" s="59">
        <f>IF('midterms'!H11="","",'midterms'!H11)</f>
        <v/>
      </c>
      <c r="I11" s="59">
        <f>IF('midterms'!I11="","",'midterms'!I11)</f>
        <v/>
      </c>
      <c r="J11" s="59">
        <f>IF('midterms'!J11="","",'midterms'!J11)</f>
        <v/>
      </c>
      <c r="K11" s="59">
        <f>IF('midterms'!K11="","",'midterms'!K11)</f>
        <v/>
      </c>
      <c r="L11" s="59">
        <f>IF('midterms'!L11="","",'midterms'!L11)</f>
        <v/>
      </c>
      <c r="M11" s="59">
        <f>IF('midterms'!M11="","",'midterms'!M11)</f>
        <v/>
      </c>
      <c r="N11" s="59">
        <f>IF('midterms'!N11="","",'midterms'!N11)</f>
        <v/>
      </c>
      <c r="O11" s="59">
        <f>IF('midterms'!O11="","",'midterms'!O11)</f>
        <v/>
      </c>
      <c r="P11" s="59">
        <f>IF('midterms'!P11="","",'midterms'!P11)</f>
        <v/>
      </c>
      <c r="Q11" s="59">
        <f>IF('finals'!C11="","",'finals'!C11)</f>
        <v/>
      </c>
      <c r="R11" s="59">
        <f>IF('finals'!D11="","",'finals'!D11)</f>
        <v/>
      </c>
      <c r="S11" s="59">
        <f>IF('finals'!E11="","",'finals'!E11)</f>
        <v/>
      </c>
      <c r="T11" s="59">
        <f>IF('finals'!F11="","",'finals'!F11)</f>
        <v/>
      </c>
      <c r="U11" s="59">
        <f>IF('finals'!G11="","",'finals'!G11)</f>
        <v/>
      </c>
      <c r="V11" s="59">
        <f>IF('finals'!H11="","",'finals'!H11)</f>
        <v/>
      </c>
      <c r="W11" s="59">
        <f>IF('finals'!I11="","",'finals'!I11)</f>
        <v/>
      </c>
      <c r="X11" s="59">
        <f>IF('finals'!J11="","",'finals'!J11)</f>
        <v/>
      </c>
      <c r="Y11" s="59">
        <f>IF('finals'!K11="","",'finals'!K11)</f>
        <v/>
      </c>
      <c r="Z11" s="59">
        <f>IF('finals'!L11="","",'finals'!L11)</f>
        <v/>
      </c>
      <c r="AA11" s="59">
        <f>IF('finals'!M11="","",'finals'!M11)</f>
        <v/>
      </c>
      <c r="AB11" s="59">
        <f>IF('finals'!N11="","",'finals'!N11)</f>
        <v/>
      </c>
      <c r="AC11" s="59">
        <f>IF('finals'!O11="","",'finals'!O11)</f>
        <v/>
      </c>
      <c r="AD11" s="59">
        <f>IF('finals'!P11="","",'finals'!P11)</f>
        <v/>
      </c>
      <c r="AE11" s="38">
        <f>'midterms'!Q11</f>
        <v/>
      </c>
      <c r="AF11" s="54" t="n"/>
      <c r="AG11" s="38">
        <f>'finals'!Q11</f>
        <v/>
      </c>
      <c r="AH11" s="54" t="n"/>
      <c r="AI11" s="38">
        <f>IF(OR(AE11="",AG11=""),IF(AND(AE11="",AG11=""),"",IF(AE11="",AG11,AE11)),AE11+AG11)</f>
        <v/>
      </c>
      <c r="AJ11" s="54" t="n"/>
    </row>
    <row r="12" ht="25" customFormat="1" customHeight="1" s="5">
      <c r="A12" s="55">
        <f>'midterms'!A12</f>
        <v/>
      </c>
      <c r="B12" s="56">
        <f>'midterms'!B12</f>
        <v/>
      </c>
      <c r="C12" s="60">
        <f>IF('midterms'!C12="","",'midterms'!C12)</f>
        <v/>
      </c>
      <c r="D12" s="60">
        <f>IF('midterms'!D12="","",'midterms'!D12)</f>
        <v/>
      </c>
      <c r="E12" s="60">
        <f>IF('midterms'!E12="","",'midterms'!E12)</f>
        <v/>
      </c>
      <c r="F12" s="60">
        <f>IF('midterms'!F12="","",'midterms'!F12)</f>
        <v/>
      </c>
      <c r="G12" s="60">
        <f>IF('midterms'!G12="","",'midterms'!G12)</f>
        <v/>
      </c>
      <c r="H12" s="60">
        <f>IF('midterms'!H12="","",'midterms'!H12)</f>
        <v/>
      </c>
      <c r="I12" s="60">
        <f>IF('midterms'!I12="","",'midterms'!I12)</f>
        <v/>
      </c>
      <c r="J12" s="60">
        <f>IF('midterms'!J12="","",'midterms'!J12)</f>
        <v/>
      </c>
      <c r="K12" s="60">
        <f>IF('midterms'!K12="","",'midterms'!K12)</f>
        <v/>
      </c>
      <c r="L12" s="60">
        <f>IF('midterms'!L12="","",'midterms'!L12)</f>
        <v/>
      </c>
      <c r="M12" s="60">
        <f>IF('midterms'!M12="","",'midterms'!M12)</f>
        <v/>
      </c>
      <c r="N12" s="60">
        <f>IF('midterms'!N12="","",'midterms'!N12)</f>
        <v/>
      </c>
      <c r="O12" s="60">
        <f>IF('midterms'!O12="","",'midterms'!O12)</f>
        <v/>
      </c>
      <c r="P12" s="60">
        <f>IF('midterms'!P12="","",'midterms'!P12)</f>
        <v/>
      </c>
      <c r="Q12" s="60">
        <f>IF('finals'!C12="","",'finals'!C12)</f>
        <v/>
      </c>
      <c r="R12" s="60">
        <f>IF('finals'!D12="","",'finals'!D12)</f>
        <v/>
      </c>
      <c r="S12" s="60">
        <f>IF('finals'!E12="","",'finals'!E12)</f>
        <v/>
      </c>
      <c r="T12" s="60">
        <f>IF('finals'!F12="","",'finals'!F12)</f>
        <v/>
      </c>
      <c r="U12" s="60">
        <f>IF('finals'!G12="","",'finals'!G12)</f>
        <v/>
      </c>
      <c r="V12" s="60">
        <f>IF('finals'!H12="","",'finals'!H12)</f>
        <v/>
      </c>
      <c r="W12" s="60">
        <f>IF('finals'!I12="","",'finals'!I12)</f>
        <v/>
      </c>
      <c r="X12" s="60">
        <f>IF('finals'!J12="","",'finals'!J12)</f>
        <v/>
      </c>
      <c r="Y12" s="60">
        <f>IF('finals'!K12="","",'finals'!K12)</f>
        <v/>
      </c>
      <c r="Z12" s="60">
        <f>IF('finals'!L12="","",'finals'!L12)</f>
        <v/>
      </c>
      <c r="AA12" s="60">
        <f>IF('finals'!M12="","",'finals'!M12)</f>
        <v/>
      </c>
      <c r="AB12" s="60">
        <f>IF('finals'!N12="","",'finals'!N12)</f>
        <v/>
      </c>
      <c r="AC12" s="60">
        <f>IF('finals'!O12="","",'finals'!O12)</f>
        <v/>
      </c>
      <c r="AD12" s="60">
        <f>IF('finals'!P12="","",'finals'!P12)</f>
        <v/>
      </c>
      <c r="AE12" s="40">
        <f>'midterms'!Q12</f>
        <v/>
      </c>
      <c r="AF12" s="54" t="n"/>
      <c r="AG12" s="40">
        <f>'finals'!Q12</f>
        <v/>
      </c>
      <c r="AH12" s="54" t="n"/>
      <c r="AI12" s="40">
        <f>IF(OR(AE12="",AG12=""),IF(AND(AE12="",AG12=""),"",IF(AE12="",AG12,AE12)),AE12+AG12)</f>
        <v/>
      </c>
      <c r="AJ12" s="54" t="n"/>
    </row>
    <row r="13" ht="25" customFormat="1" customHeight="1" s="5">
      <c r="A13" s="51">
        <f>'midterms'!A13</f>
        <v/>
      </c>
      <c r="B13" s="52">
        <f>'midterms'!B13</f>
        <v/>
      </c>
      <c r="C13" s="59">
        <f>IF('midterms'!C13="","",'midterms'!C13)</f>
        <v/>
      </c>
      <c r="D13" s="59">
        <f>IF('midterms'!D13="","",'midterms'!D13)</f>
        <v/>
      </c>
      <c r="E13" s="59">
        <f>IF('midterms'!E13="","",'midterms'!E13)</f>
        <v/>
      </c>
      <c r="F13" s="59">
        <f>IF('midterms'!F13="","",'midterms'!F13)</f>
        <v/>
      </c>
      <c r="G13" s="59">
        <f>IF('midterms'!G13="","",'midterms'!G13)</f>
        <v/>
      </c>
      <c r="H13" s="59">
        <f>IF('midterms'!H13="","",'midterms'!H13)</f>
        <v/>
      </c>
      <c r="I13" s="59">
        <f>IF('midterms'!I13="","",'midterms'!I13)</f>
        <v/>
      </c>
      <c r="J13" s="59">
        <f>IF('midterms'!J13="","",'midterms'!J13)</f>
        <v/>
      </c>
      <c r="K13" s="59">
        <f>IF('midterms'!K13="","",'midterms'!K13)</f>
        <v/>
      </c>
      <c r="L13" s="59">
        <f>IF('midterms'!L13="","",'midterms'!L13)</f>
        <v/>
      </c>
      <c r="M13" s="59">
        <f>IF('midterms'!M13="","",'midterms'!M13)</f>
        <v/>
      </c>
      <c r="N13" s="59">
        <f>IF('midterms'!N13="","",'midterms'!N13)</f>
        <v/>
      </c>
      <c r="O13" s="59">
        <f>IF('midterms'!O13="","",'midterms'!O13)</f>
        <v/>
      </c>
      <c r="P13" s="59">
        <f>IF('midterms'!P13="","",'midterms'!P13)</f>
        <v/>
      </c>
      <c r="Q13" s="59">
        <f>IF('finals'!C13="","",'finals'!C13)</f>
        <v/>
      </c>
      <c r="R13" s="59">
        <f>IF('finals'!D13="","",'finals'!D13)</f>
        <v/>
      </c>
      <c r="S13" s="59">
        <f>IF('finals'!E13="","",'finals'!E13)</f>
        <v/>
      </c>
      <c r="T13" s="59">
        <f>IF('finals'!F13="","",'finals'!F13)</f>
        <v/>
      </c>
      <c r="U13" s="59">
        <f>IF('finals'!G13="","",'finals'!G13)</f>
        <v/>
      </c>
      <c r="V13" s="59">
        <f>IF('finals'!H13="","",'finals'!H13)</f>
        <v/>
      </c>
      <c r="W13" s="59">
        <f>IF('finals'!I13="","",'finals'!I13)</f>
        <v/>
      </c>
      <c r="X13" s="59">
        <f>IF('finals'!J13="","",'finals'!J13)</f>
        <v/>
      </c>
      <c r="Y13" s="59">
        <f>IF('finals'!K13="","",'finals'!K13)</f>
        <v/>
      </c>
      <c r="Z13" s="59">
        <f>IF('finals'!L13="","",'finals'!L13)</f>
        <v/>
      </c>
      <c r="AA13" s="59">
        <f>IF('finals'!M13="","",'finals'!M13)</f>
        <v/>
      </c>
      <c r="AB13" s="59">
        <f>IF('finals'!N13="","",'finals'!N13)</f>
        <v/>
      </c>
      <c r="AC13" s="59">
        <f>IF('finals'!O13="","",'finals'!O13)</f>
        <v/>
      </c>
      <c r="AD13" s="59">
        <f>IF('finals'!P13="","",'finals'!P13)</f>
        <v/>
      </c>
      <c r="AE13" s="38">
        <f>'midterms'!Q13</f>
        <v/>
      </c>
      <c r="AF13" s="54" t="n"/>
      <c r="AG13" s="38">
        <f>'finals'!Q13</f>
        <v/>
      </c>
      <c r="AH13" s="54" t="n"/>
      <c r="AI13" s="38">
        <f>IF(OR(AE13="",AG13=""),IF(AND(AE13="",AG13=""),"",IF(AE13="",AG13,AE13)),AE13+AG13)</f>
        <v/>
      </c>
      <c r="AJ13" s="54" t="n"/>
    </row>
    <row r="14" ht="25" customFormat="1" customHeight="1" s="5">
      <c r="A14" s="55">
        <f>'midterms'!A14</f>
        <v/>
      </c>
      <c r="B14" s="56">
        <f>'midterms'!B14</f>
        <v/>
      </c>
      <c r="C14" s="60">
        <f>IF('midterms'!C14="","",'midterms'!C14)</f>
        <v/>
      </c>
      <c r="D14" s="60">
        <f>IF('midterms'!D14="","",'midterms'!D14)</f>
        <v/>
      </c>
      <c r="E14" s="60">
        <f>IF('midterms'!E14="","",'midterms'!E14)</f>
        <v/>
      </c>
      <c r="F14" s="60">
        <f>IF('midterms'!F14="","",'midterms'!F14)</f>
        <v/>
      </c>
      <c r="G14" s="60">
        <f>IF('midterms'!G14="","",'midterms'!G14)</f>
        <v/>
      </c>
      <c r="H14" s="60">
        <f>IF('midterms'!H14="","",'midterms'!H14)</f>
        <v/>
      </c>
      <c r="I14" s="60">
        <f>IF('midterms'!I14="","",'midterms'!I14)</f>
        <v/>
      </c>
      <c r="J14" s="60">
        <f>IF('midterms'!J14="","",'midterms'!J14)</f>
        <v/>
      </c>
      <c r="K14" s="60">
        <f>IF('midterms'!K14="","",'midterms'!K14)</f>
        <v/>
      </c>
      <c r="L14" s="60">
        <f>IF('midterms'!L14="","",'midterms'!L14)</f>
        <v/>
      </c>
      <c r="M14" s="60">
        <f>IF('midterms'!M14="","",'midterms'!M14)</f>
        <v/>
      </c>
      <c r="N14" s="60">
        <f>IF('midterms'!N14="","",'midterms'!N14)</f>
        <v/>
      </c>
      <c r="O14" s="60">
        <f>IF('midterms'!O14="","",'midterms'!O14)</f>
        <v/>
      </c>
      <c r="P14" s="60">
        <f>IF('midterms'!P14="","",'midterms'!P14)</f>
        <v/>
      </c>
      <c r="Q14" s="60">
        <f>IF('finals'!C14="","",'finals'!C14)</f>
        <v/>
      </c>
      <c r="R14" s="60">
        <f>IF('finals'!D14="","",'finals'!D14)</f>
        <v/>
      </c>
      <c r="S14" s="60">
        <f>IF('finals'!E14="","",'finals'!E14)</f>
        <v/>
      </c>
      <c r="T14" s="60">
        <f>IF('finals'!F14="","",'finals'!F14)</f>
        <v/>
      </c>
      <c r="U14" s="60">
        <f>IF('finals'!G14="","",'finals'!G14)</f>
        <v/>
      </c>
      <c r="V14" s="60">
        <f>IF('finals'!H14="","",'finals'!H14)</f>
        <v/>
      </c>
      <c r="W14" s="60">
        <f>IF('finals'!I14="","",'finals'!I14)</f>
        <v/>
      </c>
      <c r="X14" s="60">
        <f>IF('finals'!J14="","",'finals'!J14)</f>
        <v/>
      </c>
      <c r="Y14" s="60">
        <f>IF('finals'!K14="","",'finals'!K14)</f>
        <v/>
      </c>
      <c r="Z14" s="60">
        <f>IF('finals'!L14="","",'finals'!L14)</f>
        <v/>
      </c>
      <c r="AA14" s="60">
        <f>IF('finals'!M14="","",'finals'!M14)</f>
        <v/>
      </c>
      <c r="AB14" s="60">
        <f>IF('finals'!N14="","",'finals'!N14)</f>
        <v/>
      </c>
      <c r="AC14" s="60">
        <f>IF('finals'!O14="","",'finals'!O14)</f>
        <v/>
      </c>
      <c r="AD14" s="60">
        <f>IF('finals'!P14="","",'finals'!P14)</f>
        <v/>
      </c>
      <c r="AE14" s="40">
        <f>'midterms'!Q14</f>
        <v/>
      </c>
      <c r="AF14" s="54" t="n"/>
      <c r="AG14" s="40">
        <f>'finals'!Q14</f>
        <v/>
      </c>
      <c r="AH14" s="54" t="n"/>
      <c r="AI14" s="40">
        <f>IF(OR(AE14="",AG14=""),IF(AND(AE14="",AG14=""),"",IF(AE14="",AG14,AE14)),AE14+AG14)</f>
        <v/>
      </c>
      <c r="AJ14" s="54" t="n"/>
    </row>
    <row r="15" ht="25" customFormat="1" customHeight="1" s="5">
      <c r="A15" s="51">
        <f>'midterms'!A15</f>
        <v/>
      </c>
      <c r="B15" s="52">
        <f>'midterms'!B15</f>
        <v/>
      </c>
      <c r="C15" s="59">
        <f>IF('midterms'!C15="","",'midterms'!C15)</f>
        <v/>
      </c>
      <c r="D15" s="59">
        <f>IF('midterms'!D15="","",'midterms'!D15)</f>
        <v/>
      </c>
      <c r="E15" s="59">
        <f>IF('midterms'!E15="","",'midterms'!E15)</f>
        <v/>
      </c>
      <c r="F15" s="59">
        <f>IF('midterms'!F15="","",'midterms'!F15)</f>
        <v/>
      </c>
      <c r="G15" s="59">
        <f>IF('midterms'!G15="","",'midterms'!G15)</f>
        <v/>
      </c>
      <c r="H15" s="59">
        <f>IF('midterms'!H15="","",'midterms'!H15)</f>
        <v/>
      </c>
      <c r="I15" s="59">
        <f>IF('midterms'!I15="","",'midterms'!I15)</f>
        <v/>
      </c>
      <c r="J15" s="59">
        <f>IF('midterms'!J15="","",'midterms'!J15)</f>
        <v/>
      </c>
      <c r="K15" s="59">
        <f>IF('midterms'!K15="","",'midterms'!K15)</f>
        <v/>
      </c>
      <c r="L15" s="59">
        <f>IF('midterms'!L15="","",'midterms'!L15)</f>
        <v/>
      </c>
      <c r="M15" s="59">
        <f>IF('midterms'!M15="","",'midterms'!M15)</f>
        <v/>
      </c>
      <c r="N15" s="59">
        <f>IF('midterms'!N15="","",'midterms'!N15)</f>
        <v/>
      </c>
      <c r="O15" s="59">
        <f>IF('midterms'!O15="","",'midterms'!O15)</f>
        <v/>
      </c>
      <c r="P15" s="59">
        <f>IF('midterms'!P15="","",'midterms'!P15)</f>
        <v/>
      </c>
      <c r="Q15" s="59">
        <f>IF('finals'!C15="","",'finals'!C15)</f>
        <v/>
      </c>
      <c r="R15" s="59">
        <f>IF('finals'!D15="","",'finals'!D15)</f>
        <v/>
      </c>
      <c r="S15" s="59">
        <f>IF('finals'!E15="","",'finals'!E15)</f>
        <v/>
      </c>
      <c r="T15" s="59">
        <f>IF('finals'!F15="","",'finals'!F15)</f>
        <v/>
      </c>
      <c r="U15" s="59">
        <f>IF('finals'!G15="","",'finals'!G15)</f>
        <v/>
      </c>
      <c r="V15" s="59">
        <f>IF('finals'!H15="","",'finals'!H15)</f>
        <v/>
      </c>
      <c r="W15" s="59">
        <f>IF('finals'!I15="","",'finals'!I15)</f>
        <v/>
      </c>
      <c r="X15" s="59">
        <f>IF('finals'!J15="","",'finals'!J15)</f>
        <v/>
      </c>
      <c r="Y15" s="59">
        <f>IF('finals'!K15="","",'finals'!K15)</f>
        <v/>
      </c>
      <c r="Z15" s="59">
        <f>IF('finals'!L15="","",'finals'!L15)</f>
        <v/>
      </c>
      <c r="AA15" s="59">
        <f>IF('finals'!M15="","",'finals'!M15)</f>
        <v/>
      </c>
      <c r="AB15" s="59">
        <f>IF('finals'!N15="","",'finals'!N15)</f>
        <v/>
      </c>
      <c r="AC15" s="59">
        <f>IF('finals'!O15="","",'finals'!O15)</f>
        <v/>
      </c>
      <c r="AD15" s="59">
        <f>IF('finals'!P15="","",'finals'!P15)</f>
        <v/>
      </c>
      <c r="AE15" s="38">
        <f>'midterms'!Q15</f>
        <v/>
      </c>
      <c r="AF15" s="54" t="n"/>
      <c r="AG15" s="38">
        <f>'finals'!Q15</f>
        <v/>
      </c>
      <c r="AH15" s="54" t="n"/>
      <c r="AI15" s="38">
        <f>IF(OR(AE15="",AG15=""),IF(AND(AE15="",AG15=""),"",IF(AE15="",AG15,AE15)),AE15+AG15)</f>
        <v/>
      </c>
      <c r="AJ15" s="54" t="n"/>
    </row>
    <row r="16" ht="25" customFormat="1" customHeight="1" s="5">
      <c r="A16" s="55">
        <f>'midterms'!A16</f>
        <v/>
      </c>
      <c r="B16" s="56">
        <f>'midterms'!B16</f>
        <v/>
      </c>
      <c r="C16" s="60">
        <f>IF('midterms'!C16="","",'midterms'!C16)</f>
        <v/>
      </c>
      <c r="D16" s="60">
        <f>IF('midterms'!D16="","",'midterms'!D16)</f>
        <v/>
      </c>
      <c r="E16" s="60">
        <f>IF('midterms'!E16="","",'midterms'!E16)</f>
        <v/>
      </c>
      <c r="F16" s="60">
        <f>IF('midterms'!F16="","",'midterms'!F16)</f>
        <v/>
      </c>
      <c r="G16" s="60">
        <f>IF('midterms'!G16="","",'midterms'!G16)</f>
        <v/>
      </c>
      <c r="H16" s="60">
        <f>IF('midterms'!H16="","",'midterms'!H16)</f>
        <v/>
      </c>
      <c r="I16" s="60">
        <f>IF('midterms'!I16="","",'midterms'!I16)</f>
        <v/>
      </c>
      <c r="J16" s="60">
        <f>IF('midterms'!J16="","",'midterms'!J16)</f>
        <v/>
      </c>
      <c r="K16" s="60">
        <f>IF('midterms'!K16="","",'midterms'!K16)</f>
        <v/>
      </c>
      <c r="L16" s="60">
        <f>IF('midterms'!L16="","",'midterms'!L16)</f>
        <v/>
      </c>
      <c r="M16" s="60">
        <f>IF('midterms'!M16="","",'midterms'!M16)</f>
        <v/>
      </c>
      <c r="N16" s="60">
        <f>IF('midterms'!N16="","",'midterms'!N16)</f>
        <v/>
      </c>
      <c r="O16" s="60">
        <f>IF('midterms'!O16="","",'midterms'!O16)</f>
        <v/>
      </c>
      <c r="P16" s="60">
        <f>IF('midterms'!P16="","",'midterms'!P16)</f>
        <v/>
      </c>
      <c r="Q16" s="60">
        <f>IF('finals'!C16="","",'finals'!C16)</f>
        <v/>
      </c>
      <c r="R16" s="60">
        <f>IF('finals'!D16="","",'finals'!D16)</f>
        <v/>
      </c>
      <c r="S16" s="60">
        <f>IF('finals'!E16="","",'finals'!E16)</f>
        <v/>
      </c>
      <c r="T16" s="60">
        <f>IF('finals'!F16="","",'finals'!F16)</f>
        <v/>
      </c>
      <c r="U16" s="60">
        <f>IF('finals'!G16="","",'finals'!G16)</f>
        <v/>
      </c>
      <c r="V16" s="60">
        <f>IF('finals'!H16="","",'finals'!H16)</f>
        <v/>
      </c>
      <c r="W16" s="60">
        <f>IF('finals'!I16="","",'finals'!I16)</f>
        <v/>
      </c>
      <c r="X16" s="60">
        <f>IF('finals'!J16="","",'finals'!J16)</f>
        <v/>
      </c>
      <c r="Y16" s="60">
        <f>IF('finals'!K16="","",'finals'!K16)</f>
        <v/>
      </c>
      <c r="Z16" s="60">
        <f>IF('finals'!L16="","",'finals'!L16)</f>
        <v/>
      </c>
      <c r="AA16" s="60">
        <f>IF('finals'!M16="","",'finals'!M16)</f>
        <v/>
      </c>
      <c r="AB16" s="60">
        <f>IF('finals'!N16="","",'finals'!N16)</f>
        <v/>
      </c>
      <c r="AC16" s="60">
        <f>IF('finals'!O16="","",'finals'!O16)</f>
        <v/>
      </c>
      <c r="AD16" s="60">
        <f>IF('finals'!P16="","",'finals'!P16)</f>
        <v/>
      </c>
      <c r="AE16" s="40">
        <f>'midterms'!Q16</f>
        <v/>
      </c>
      <c r="AF16" s="54" t="n"/>
      <c r="AG16" s="40">
        <f>'finals'!Q16</f>
        <v/>
      </c>
      <c r="AH16" s="54" t="n"/>
      <c r="AI16" s="40">
        <f>IF(OR(AE16="",AG16=""),IF(AND(AE16="",AG16=""),"",IF(AE16="",AG16,AE16)),AE16+AG16)</f>
        <v/>
      </c>
      <c r="AJ16" s="54" t="n"/>
    </row>
    <row r="17" ht="25" customFormat="1" customHeight="1" s="5">
      <c r="A17" s="51">
        <f>'midterms'!A17</f>
        <v/>
      </c>
      <c r="B17" s="52">
        <f>'midterms'!B17</f>
        <v/>
      </c>
      <c r="C17" s="59">
        <f>IF('midterms'!C17="","",'midterms'!C17)</f>
        <v/>
      </c>
      <c r="D17" s="59">
        <f>IF('midterms'!D17="","",'midterms'!D17)</f>
        <v/>
      </c>
      <c r="E17" s="59">
        <f>IF('midterms'!E17="","",'midterms'!E17)</f>
        <v/>
      </c>
      <c r="F17" s="59">
        <f>IF('midterms'!F17="","",'midterms'!F17)</f>
        <v/>
      </c>
      <c r="G17" s="59">
        <f>IF('midterms'!G17="","",'midterms'!G17)</f>
        <v/>
      </c>
      <c r="H17" s="59">
        <f>IF('midterms'!H17="","",'midterms'!H17)</f>
        <v/>
      </c>
      <c r="I17" s="59">
        <f>IF('midterms'!I17="","",'midterms'!I17)</f>
        <v/>
      </c>
      <c r="J17" s="59">
        <f>IF('midterms'!J17="","",'midterms'!J17)</f>
        <v/>
      </c>
      <c r="K17" s="59">
        <f>IF('midterms'!K17="","",'midterms'!K17)</f>
        <v/>
      </c>
      <c r="L17" s="59">
        <f>IF('midterms'!L17="","",'midterms'!L17)</f>
        <v/>
      </c>
      <c r="M17" s="59">
        <f>IF('midterms'!M17="","",'midterms'!M17)</f>
        <v/>
      </c>
      <c r="N17" s="59">
        <f>IF('midterms'!N17="","",'midterms'!N17)</f>
        <v/>
      </c>
      <c r="O17" s="59">
        <f>IF('midterms'!O17="","",'midterms'!O17)</f>
        <v/>
      </c>
      <c r="P17" s="59">
        <f>IF('midterms'!P17="","",'midterms'!P17)</f>
        <v/>
      </c>
      <c r="Q17" s="59">
        <f>IF('finals'!C17="","",'finals'!C17)</f>
        <v/>
      </c>
      <c r="R17" s="59">
        <f>IF('finals'!D17="","",'finals'!D17)</f>
        <v/>
      </c>
      <c r="S17" s="59">
        <f>IF('finals'!E17="","",'finals'!E17)</f>
        <v/>
      </c>
      <c r="T17" s="59">
        <f>IF('finals'!F17="","",'finals'!F17)</f>
        <v/>
      </c>
      <c r="U17" s="59">
        <f>IF('finals'!G17="","",'finals'!G17)</f>
        <v/>
      </c>
      <c r="V17" s="59">
        <f>IF('finals'!H17="","",'finals'!H17)</f>
        <v/>
      </c>
      <c r="W17" s="59">
        <f>IF('finals'!I17="","",'finals'!I17)</f>
        <v/>
      </c>
      <c r="X17" s="59">
        <f>IF('finals'!J17="","",'finals'!J17)</f>
        <v/>
      </c>
      <c r="Y17" s="59">
        <f>IF('finals'!K17="","",'finals'!K17)</f>
        <v/>
      </c>
      <c r="Z17" s="59">
        <f>IF('finals'!L17="","",'finals'!L17)</f>
        <v/>
      </c>
      <c r="AA17" s="59">
        <f>IF('finals'!M17="","",'finals'!M17)</f>
        <v/>
      </c>
      <c r="AB17" s="59">
        <f>IF('finals'!N17="","",'finals'!N17)</f>
        <v/>
      </c>
      <c r="AC17" s="59">
        <f>IF('finals'!O17="","",'finals'!O17)</f>
        <v/>
      </c>
      <c r="AD17" s="59">
        <f>IF('finals'!P17="","",'finals'!P17)</f>
        <v/>
      </c>
      <c r="AE17" s="38">
        <f>'midterms'!Q17</f>
        <v/>
      </c>
      <c r="AF17" s="54" t="n"/>
      <c r="AG17" s="38">
        <f>'finals'!Q17</f>
        <v/>
      </c>
      <c r="AH17" s="54" t="n"/>
      <c r="AI17" s="38">
        <f>IF(OR(AE17="",AG17=""),IF(AND(AE17="",AG17=""),"",IF(AE17="",AG17,AE17)),AE17+AG17)</f>
        <v/>
      </c>
      <c r="AJ17" s="54" t="n"/>
    </row>
    <row r="18" ht="25" customFormat="1" customHeight="1" s="5">
      <c r="A18" s="55">
        <f>'midterms'!A18</f>
        <v/>
      </c>
      <c r="B18" s="56">
        <f>'midterms'!B18</f>
        <v/>
      </c>
      <c r="C18" s="60">
        <f>IF('midterms'!C18="","",'midterms'!C18)</f>
        <v/>
      </c>
      <c r="D18" s="60">
        <f>IF('midterms'!D18="","",'midterms'!D18)</f>
        <v/>
      </c>
      <c r="E18" s="60">
        <f>IF('midterms'!E18="","",'midterms'!E18)</f>
        <v/>
      </c>
      <c r="F18" s="60">
        <f>IF('midterms'!F18="","",'midterms'!F18)</f>
        <v/>
      </c>
      <c r="G18" s="60">
        <f>IF('midterms'!G18="","",'midterms'!G18)</f>
        <v/>
      </c>
      <c r="H18" s="60">
        <f>IF('midterms'!H18="","",'midterms'!H18)</f>
        <v/>
      </c>
      <c r="I18" s="60">
        <f>IF('midterms'!I18="","",'midterms'!I18)</f>
        <v/>
      </c>
      <c r="J18" s="60">
        <f>IF('midterms'!J18="","",'midterms'!J18)</f>
        <v/>
      </c>
      <c r="K18" s="60">
        <f>IF('midterms'!K18="","",'midterms'!K18)</f>
        <v/>
      </c>
      <c r="L18" s="60">
        <f>IF('midterms'!L18="","",'midterms'!L18)</f>
        <v/>
      </c>
      <c r="M18" s="60">
        <f>IF('midterms'!M18="","",'midterms'!M18)</f>
        <v/>
      </c>
      <c r="N18" s="60">
        <f>IF('midterms'!N18="","",'midterms'!N18)</f>
        <v/>
      </c>
      <c r="O18" s="60">
        <f>IF('midterms'!O18="","",'midterms'!O18)</f>
        <v/>
      </c>
      <c r="P18" s="60">
        <f>IF('midterms'!P18="","",'midterms'!P18)</f>
        <v/>
      </c>
      <c r="Q18" s="60">
        <f>IF('finals'!C18="","",'finals'!C18)</f>
        <v/>
      </c>
      <c r="R18" s="60">
        <f>IF('finals'!D18="","",'finals'!D18)</f>
        <v/>
      </c>
      <c r="S18" s="60">
        <f>IF('finals'!E18="","",'finals'!E18)</f>
        <v/>
      </c>
      <c r="T18" s="60">
        <f>IF('finals'!F18="","",'finals'!F18)</f>
        <v/>
      </c>
      <c r="U18" s="60">
        <f>IF('finals'!G18="","",'finals'!G18)</f>
        <v/>
      </c>
      <c r="V18" s="60">
        <f>IF('finals'!H18="","",'finals'!H18)</f>
        <v/>
      </c>
      <c r="W18" s="60">
        <f>IF('finals'!I18="","",'finals'!I18)</f>
        <v/>
      </c>
      <c r="X18" s="60">
        <f>IF('finals'!J18="","",'finals'!J18)</f>
        <v/>
      </c>
      <c r="Y18" s="60">
        <f>IF('finals'!K18="","",'finals'!K18)</f>
        <v/>
      </c>
      <c r="Z18" s="60">
        <f>IF('finals'!L18="","",'finals'!L18)</f>
        <v/>
      </c>
      <c r="AA18" s="60">
        <f>IF('finals'!M18="","",'finals'!M18)</f>
        <v/>
      </c>
      <c r="AB18" s="60">
        <f>IF('finals'!N18="","",'finals'!N18)</f>
        <v/>
      </c>
      <c r="AC18" s="60">
        <f>IF('finals'!O18="","",'finals'!O18)</f>
        <v/>
      </c>
      <c r="AD18" s="60">
        <f>IF('finals'!P18="","",'finals'!P18)</f>
        <v/>
      </c>
      <c r="AE18" s="40">
        <f>'midterms'!Q18</f>
        <v/>
      </c>
      <c r="AF18" s="54" t="n"/>
      <c r="AG18" s="40">
        <f>'finals'!Q18</f>
        <v/>
      </c>
      <c r="AH18" s="54" t="n"/>
      <c r="AI18" s="40">
        <f>IF(OR(AE18="",AG18=""),IF(AND(AE18="",AG18=""),"",IF(AE18="",AG18,AE18)),AE18+AG18)</f>
        <v/>
      </c>
      <c r="AJ18" s="54" t="n"/>
    </row>
    <row r="19" ht="25" customFormat="1" customHeight="1" s="5">
      <c r="A19" s="51">
        <f>'midterms'!A19</f>
        <v/>
      </c>
      <c r="B19" s="52">
        <f>'midterms'!B19</f>
        <v/>
      </c>
      <c r="C19" s="59">
        <f>IF('midterms'!C19="","",'midterms'!C19)</f>
        <v/>
      </c>
      <c r="D19" s="59">
        <f>IF('midterms'!D19="","",'midterms'!D19)</f>
        <v/>
      </c>
      <c r="E19" s="59">
        <f>IF('midterms'!E19="","",'midterms'!E19)</f>
        <v/>
      </c>
      <c r="F19" s="59">
        <f>IF('midterms'!F19="","",'midterms'!F19)</f>
        <v/>
      </c>
      <c r="G19" s="59">
        <f>IF('midterms'!G19="","",'midterms'!G19)</f>
        <v/>
      </c>
      <c r="H19" s="59">
        <f>IF('midterms'!H19="","",'midterms'!H19)</f>
        <v/>
      </c>
      <c r="I19" s="59">
        <f>IF('midterms'!I19="","",'midterms'!I19)</f>
        <v/>
      </c>
      <c r="J19" s="59">
        <f>IF('midterms'!J19="","",'midterms'!J19)</f>
        <v/>
      </c>
      <c r="K19" s="59">
        <f>IF('midterms'!K19="","",'midterms'!K19)</f>
        <v/>
      </c>
      <c r="L19" s="59">
        <f>IF('midterms'!L19="","",'midterms'!L19)</f>
        <v/>
      </c>
      <c r="M19" s="59">
        <f>IF('midterms'!M19="","",'midterms'!M19)</f>
        <v/>
      </c>
      <c r="N19" s="59">
        <f>IF('midterms'!N19="","",'midterms'!N19)</f>
        <v/>
      </c>
      <c r="O19" s="59">
        <f>IF('midterms'!O19="","",'midterms'!O19)</f>
        <v/>
      </c>
      <c r="P19" s="59">
        <f>IF('midterms'!P19="","",'midterms'!P19)</f>
        <v/>
      </c>
      <c r="Q19" s="59">
        <f>IF('finals'!C19="","",'finals'!C19)</f>
        <v/>
      </c>
      <c r="R19" s="59">
        <f>IF('finals'!D19="","",'finals'!D19)</f>
        <v/>
      </c>
      <c r="S19" s="59">
        <f>IF('finals'!E19="","",'finals'!E19)</f>
        <v/>
      </c>
      <c r="T19" s="59">
        <f>IF('finals'!F19="","",'finals'!F19)</f>
        <v/>
      </c>
      <c r="U19" s="59">
        <f>IF('finals'!G19="","",'finals'!G19)</f>
        <v/>
      </c>
      <c r="V19" s="59">
        <f>IF('finals'!H19="","",'finals'!H19)</f>
        <v/>
      </c>
      <c r="W19" s="59">
        <f>IF('finals'!I19="","",'finals'!I19)</f>
        <v/>
      </c>
      <c r="X19" s="59">
        <f>IF('finals'!J19="","",'finals'!J19)</f>
        <v/>
      </c>
      <c r="Y19" s="59">
        <f>IF('finals'!K19="","",'finals'!K19)</f>
        <v/>
      </c>
      <c r="Z19" s="59">
        <f>IF('finals'!L19="","",'finals'!L19)</f>
        <v/>
      </c>
      <c r="AA19" s="59">
        <f>IF('finals'!M19="","",'finals'!M19)</f>
        <v/>
      </c>
      <c r="AB19" s="59">
        <f>IF('finals'!N19="","",'finals'!N19)</f>
        <v/>
      </c>
      <c r="AC19" s="59">
        <f>IF('finals'!O19="","",'finals'!O19)</f>
        <v/>
      </c>
      <c r="AD19" s="59">
        <f>IF('finals'!P19="","",'finals'!P19)</f>
        <v/>
      </c>
      <c r="AE19" s="38">
        <f>'midterms'!Q19</f>
        <v/>
      </c>
      <c r="AF19" s="54" t="n"/>
      <c r="AG19" s="38">
        <f>'finals'!Q19</f>
        <v/>
      </c>
      <c r="AH19" s="54" t="n"/>
      <c r="AI19" s="38">
        <f>IF(OR(AE19="",AG19=""),IF(AND(AE19="",AG19=""),"",IF(AE19="",AG19,AE19)),AE19+AG19)</f>
        <v/>
      </c>
      <c r="AJ19" s="54" t="n"/>
    </row>
    <row r="20" ht="25" customFormat="1" customHeight="1" s="5">
      <c r="A20" s="55">
        <f>'midterms'!A20</f>
        <v/>
      </c>
      <c r="B20" s="56">
        <f>'midterms'!B20</f>
        <v/>
      </c>
      <c r="C20" s="60">
        <f>IF('midterms'!C20="","",'midterms'!C20)</f>
        <v/>
      </c>
      <c r="D20" s="60">
        <f>IF('midterms'!D20="","",'midterms'!D20)</f>
        <v/>
      </c>
      <c r="E20" s="60">
        <f>IF('midterms'!E20="","",'midterms'!E20)</f>
        <v/>
      </c>
      <c r="F20" s="60">
        <f>IF('midterms'!F20="","",'midterms'!F20)</f>
        <v/>
      </c>
      <c r="G20" s="60">
        <f>IF('midterms'!G20="","",'midterms'!G20)</f>
        <v/>
      </c>
      <c r="H20" s="60">
        <f>IF('midterms'!H20="","",'midterms'!H20)</f>
        <v/>
      </c>
      <c r="I20" s="60">
        <f>IF('midterms'!I20="","",'midterms'!I20)</f>
        <v/>
      </c>
      <c r="J20" s="60">
        <f>IF('midterms'!J20="","",'midterms'!J20)</f>
        <v/>
      </c>
      <c r="K20" s="60">
        <f>IF('midterms'!K20="","",'midterms'!K20)</f>
        <v/>
      </c>
      <c r="L20" s="60">
        <f>IF('midterms'!L20="","",'midterms'!L20)</f>
        <v/>
      </c>
      <c r="M20" s="60">
        <f>IF('midterms'!M20="","",'midterms'!M20)</f>
        <v/>
      </c>
      <c r="N20" s="60">
        <f>IF('midterms'!N20="","",'midterms'!N20)</f>
        <v/>
      </c>
      <c r="O20" s="60">
        <f>IF('midterms'!O20="","",'midterms'!O20)</f>
        <v/>
      </c>
      <c r="P20" s="60">
        <f>IF('midterms'!P20="","",'midterms'!P20)</f>
        <v/>
      </c>
      <c r="Q20" s="60">
        <f>IF('finals'!C20="","",'finals'!C20)</f>
        <v/>
      </c>
      <c r="R20" s="60">
        <f>IF('finals'!D20="","",'finals'!D20)</f>
        <v/>
      </c>
      <c r="S20" s="60">
        <f>IF('finals'!E20="","",'finals'!E20)</f>
        <v/>
      </c>
      <c r="T20" s="60">
        <f>IF('finals'!F20="","",'finals'!F20)</f>
        <v/>
      </c>
      <c r="U20" s="60">
        <f>IF('finals'!G20="","",'finals'!G20)</f>
        <v/>
      </c>
      <c r="V20" s="60">
        <f>IF('finals'!H20="","",'finals'!H20)</f>
        <v/>
      </c>
      <c r="W20" s="60">
        <f>IF('finals'!I20="","",'finals'!I20)</f>
        <v/>
      </c>
      <c r="X20" s="60">
        <f>IF('finals'!J20="","",'finals'!J20)</f>
        <v/>
      </c>
      <c r="Y20" s="60">
        <f>IF('finals'!K20="","",'finals'!K20)</f>
        <v/>
      </c>
      <c r="Z20" s="60">
        <f>IF('finals'!L20="","",'finals'!L20)</f>
        <v/>
      </c>
      <c r="AA20" s="60">
        <f>IF('finals'!M20="","",'finals'!M20)</f>
        <v/>
      </c>
      <c r="AB20" s="60">
        <f>IF('finals'!N20="","",'finals'!N20)</f>
        <v/>
      </c>
      <c r="AC20" s="60">
        <f>IF('finals'!O20="","",'finals'!O20)</f>
        <v/>
      </c>
      <c r="AD20" s="60">
        <f>IF('finals'!P20="","",'finals'!P20)</f>
        <v/>
      </c>
      <c r="AE20" s="40">
        <f>'midterms'!Q20</f>
        <v/>
      </c>
      <c r="AF20" s="54" t="n"/>
      <c r="AG20" s="40">
        <f>'finals'!Q20</f>
        <v/>
      </c>
      <c r="AH20" s="54" t="n"/>
      <c r="AI20" s="40">
        <f>IF(OR(AE20="",AG20=""),IF(AND(AE20="",AG20=""),"",IF(AE20="",AG20,AE20)),AE20+AG20)</f>
        <v/>
      </c>
      <c r="AJ20" s="54" t="n"/>
    </row>
    <row r="21" ht="25" customFormat="1" customHeight="1" s="5">
      <c r="A21" s="51">
        <f>'midterms'!A21</f>
        <v/>
      </c>
      <c r="B21" s="52">
        <f>'midterms'!B21</f>
        <v/>
      </c>
      <c r="C21" s="59">
        <f>IF('midterms'!C21="","",'midterms'!C21)</f>
        <v/>
      </c>
      <c r="D21" s="59">
        <f>IF('midterms'!D21="","",'midterms'!D21)</f>
        <v/>
      </c>
      <c r="E21" s="59">
        <f>IF('midterms'!E21="","",'midterms'!E21)</f>
        <v/>
      </c>
      <c r="F21" s="59">
        <f>IF('midterms'!F21="","",'midterms'!F21)</f>
        <v/>
      </c>
      <c r="G21" s="59">
        <f>IF('midterms'!G21="","",'midterms'!G21)</f>
        <v/>
      </c>
      <c r="H21" s="59">
        <f>IF('midterms'!H21="","",'midterms'!H21)</f>
        <v/>
      </c>
      <c r="I21" s="59">
        <f>IF('midterms'!I21="","",'midterms'!I21)</f>
        <v/>
      </c>
      <c r="J21" s="59">
        <f>IF('midterms'!J21="","",'midterms'!J21)</f>
        <v/>
      </c>
      <c r="K21" s="59">
        <f>IF('midterms'!K21="","",'midterms'!K21)</f>
        <v/>
      </c>
      <c r="L21" s="59">
        <f>IF('midterms'!L21="","",'midterms'!L21)</f>
        <v/>
      </c>
      <c r="M21" s="59">
        <f>IF('midterms'!M21="","",'midterms'!M21)</f>
        <v/>
      </c>
      <c r="N21" s="59">
        <f>IF('midterms'!N21="","",'midterms'!N21)</f>
        <v/>
      </c>
      <c r="O21" s="59">
        <f>IF('midterms'!O21="","",'midterms'!O21)</f>
        <v/>
      </c>
      <c r="P21" s="59">
        <f>IF('midterms'!P21="","",'midterms'!P21)</f>
        <v/>
      </c>
      <c r="Q21" s="59">
        <f>IF('finals'!C21="","",'finals'!C21)</f>
        <v/>
      </c>
      <c r="R21" s="59">
        <f>IF('finals'!D21="","",'finals'!D21)</f>
        <v/>
      </c>
      <c r="S21" s="59">
        <f>IF('finals'!E21="","",'finals'!E21)</f>
        <v/>
      </c>
      <c r="T21" s="59">
        <f>IF('finals'!F21="","",'finals'!F21)</f>
        <v/>
      </c>
      <c r="U21" s="59">
        <f>IF('finals'!G21="","",'finals'!G21)</f>
        <v/>
      </c>
      <c r="V21" s="59">
        <f>IF('finals'!H21="","",'finals'!H21)</f>
        <v/>
      </c>
      <c r="W21" s="59">
        <f>IF('finals'!I21="","",'finals'!I21)</f>
        <v/>
      </c>
      <c r="X21" s="59">
        <f>IF('finals'!J21="","",'finals'!J21)</f>
        <v/>
      </c>
      <c r="Y21" s="59">
        <f>IF('finals'!K21="","",'finals'!K21)</f>
        <v/>
      </c>
      <c r="Z21" s="59">
        <f>IF('finals'!L21="","",'finals'!L21)</f>
        <v/>
      </c>
      <c r="AA21" s="59">
        <f>IF('finals'!M21="","",'finals'!M21)</f>
        <v/>
      </c>
      <c r="AB21" s="59">
        <f>IF('finals'!N21="","",'finals'!N21)</f>
        <v/>
      </c>
      <c r="AC21" s="59">
        <f>IF('finals'!O21="","",'finals'!O21)</f>
        <v/>
      </c>
      <c r="AD21" s="59">
        <f>IF('finals'!P21="","",'finals'!P21)</f>
        <v/>
      </c>
      <c r="AE21" s="38">
        <f>'midterms'!Q21</f>
        <v/>
      </c>
      <c r="AF21" s="54" t="n"/>
      <c r="AG21" s="38">
        <f>'finals'!Q21</f>
        <v/>
      </c>
      <c r="AH21" s="54" t="n"/>
      <c r="AI21" s="38">
        <f>IF(OR(AE21="",AG21=""),IF(AND(AE21="",AG21=""),"",IF(AE21="",AG21,AE21)),AE21+AG21)</f>
        <v/>
      </c>
      <c r="AJ21" s="54" t="n"/>
    </row>
    <row r="22" ht="25" customFormat="1" customHeight="1" s="5">
      <c r="A22" s="55">
        <f>'midterms'!A22</f>
        <v/>
      </c>
      <c r="B22" s="56">
        <f>'midterms'!B22</f>
        <v/>
      </c>
      <c r="C22" s="60">
        <f>IF('midterms'!C22="","",'midterms'!C22)</f>
        <v/>
      </c>
      <c r="D22" s="60">
        <f>IF('midterms'!D22="","",'midterms'!D22)</f>
        <v/>
      </c>
      <c r="E22" s="60">
        <f>IF('midterms'!E22="","",'midterms'!E22)</f>
        <v/>
      </c>
      <c r="F22" s="60">
        <f>IF('midterms'!F22="","",'midterms'!F22)</f>
        <v/>
      </c>
      <c r="G22" s="60">
        <f>IF('midterms'!G22="","",'midterms'!G22)</f>
        <v/>
      </c>
      <c r="H22" s="60">
        <f>IF('midterms'!H22="","",'midterms'!H22)</f>
        <v/>
      </c>
      <c r="I22" s="60">
        <f>IF('midterms'!I22="","",'midterms'!I22)</f>
        <v/>
      </c>
      <c r="J22" s="60">
        <f>IF('midterms'!J22="","",'midterms'!J22)</f>
        <v/>
      </c>
      <c r="K22" s="60">
        <f>IF('midterms'!K22="","",'midterms'!K22)</f>
        <v/>
      </c>
      <c r="L22" s="60">
        <f>IF('midterms'!L22="","",'midterms'!L22)</f>
        <v/>
      </c>
      <c r="M22" s="60">
        <f>IF('midterms'!M22="","",'midterms'!M22)</f>
        <v/>
      </c>
      <c r="N22" s="60">
        <f>IF('midterms'!N22="","",'midterms'!N22)</f>
        <v/>
      </c>
      <c r="O22" s="60">
        <f>IF('midterms'!O22="","",'midterms'!O22)</f>
        <v/>
      </c>
      <c r="P22" s="60">
        <f>IF('midterms'!P22="","",'midterms'!P22)</f>
        <v/>
      </c>
      <c r="Q22" s="60">
        <f>IF('finals'!C22="","",'finals'!C22)</f>
        <v/>
      </c>
      <c r="R22" s="60">
        <f>IF('finals'!D22="","",'finals'!D22)</f>
        <v/>
      </c>
      <c r="S22" s="60">
        <f>IF('finals'!E22="","",'finals'!E22)</f>
        <v/>
      </c>
      <c r="T22" s="60">
        <f>IF('finals'!F22="","",'finals'!F22)</f>
        <v/>
      </c>
      <c r="U22" s="60">
        <f>IF('finals'!G22="","",'finals'!G22)</f>
        <v/>
      </c>
      <c r="V22" s="60">
        <f>IF('finals'!H22="","",'finals'!H22)</f>
        <v/>
      </c>
      <c r="W22" s="60">
        <f>IF('finals'!I22="","",'finals'!I22)</f>
        <v/>
      </c>
      <c r="X22" s="60">
        <f>IF('finals'!J22="","",'finals'!J22)</f>
        <v/>
      </c>
      <c r="Y22" s="60">
        <f>IF('finals'!K22="","",'finals'!K22)</f>
        <v/>
      </c>
      <c r="Z22" s="60">
        <f>IF('finals'!L22="","",'finals'!L22)</f>
        <v/>
      </c>
      <c r="AA22" s="60">
        <f>IF('finals'!M22="","",'finals'!M22)</f>
        <v/>
      </c>
      <c r="AB22" s="60">
        <f>IF('finals'!N22="","",'finals'!N22)</f>
        <v/>
      </c>
      <c r="AC22" s="60">
        <f>IF('finals'!O22="","",'finals'!O22)</f>
        <v/>
      </c>
      <c r="AD22" s="60">
        <f>IF('finals'!P22="","",'finals'!P22)</f>
        <v/>
      </c>
      <c r="AE22" s="40">
        <f>'midterms'!Q22</f>
        <v/>
      </c>
      <c r="AF22" s="54" t="n"/>
      <c r="AG22" s="40">
        <f>'finals'!Q22</f>
        <v/>
      </c>
      <c r="AH22" s="54" t="n"/>
      <c r="AI22" s="40">
        <f>IF(OR(AE22="",AG22=""),IF(AND(AE22="",AG22=""),"",IF(AE22="",AG22,AE22)),AE22+AG22)</f>
        <v/>
      </c>
      <c r="AJ22" s="54" t="n"/>
    </row>
    <row r="23" ht="25" customFormat="1" customHeight="1" s="5">
      <c r="A23" s="51">
        <f>'midterms'!A23</f>
        <v/>
      </c>
      <c r="B23" s="52">
        <f>'midterms'!B23</f>
        <v/>
      </c>
      <c r="C23" s="59">
        <f>IF('midterms'!C23="","",'midterms'!C23)</f>
        <v/>
      </c>
      <c r="D23" s="59">
        <f>IF('midterms'!D23="","",'midterms'!D23)</f>
        <v/>
      </c>
      <c r="E23" s="59">
        <f>IF('midterms'!E23="","",'midterms'!E23)</f>
        <v/>
      </c>
      <c r="F23" s="59">
        <f>IF('midterms'!F23="","",'midterms'!F23)</f>
        <v/>
      </c>
      <c r="G23" s="59">
        <f>IF('midterms'!G23="","",'midterms'!G23)</f>
        <v/>
      </c>
      <c r="H23" s="59">
        <f>IF('midterms'!H23="","",'midterms'!H23)</f>
        <v/>
      </c>
      <c r="I23" s="59">
        <f>IF('midterms'!I23="","",'midterms'!I23)</f>
        <v/>
      </c>
      <c r="J23" s="59">
        <f>IF('midterms'!J23="","",'midterms'!J23)</f>
        <v/>
      </c>
      <c r="K23" s="59">
        <f>IF('midterms'!K23="","",'midterms'!K23)</f>
        <v/>
      </c>
      <c r="L23" s="59">
        <f>IF('midterms'!L23="","",'midterms'!L23)</f>
        <v/>
      </c>
      <c r="M23" s="59">
        <f>IF('midterms'!M23="","",'midterms'!M23)</f>
        <v/>
      </c>
      <c r="N23" s="59">
        <f>IF('midterms'!N23="","",'midterms'!N23)</f>
        <v/>
      </c>
      <c r="O23" s="59">
        <f>IF('midterms'!O23="","",'midterms'!O23)</f>
        <v/>
      </c>
      <c r="P23" s="59">
        <f>IF('midterms'!P23="","",'midterms'!P23)</f>
        <v/>
      </c>
      <c r="Q23" s="59">
        <f>IF('finals'!C23="","",'finals'!C23)</f>
        <v/>
      </c>
      <c r="R23" s="59">
        <f>IF('finals'!D23="","",'finals'!D23)</f>
        <v/>
      </c>
      <c r="S23" s="59">
        <f>IF('finals'!E23="","",'finals'!E23)</f>
        <v/>
      </c>
      <c r="T23" s="59">
        <f>IF('finals'!F23="","",'finals'!F23)</f>
        <v/>
      </c>
      <c r="U23" s="59">
        <f>IF('finals'!G23="","",'finals'!G23)</f>
        <v/>
      </c>
      <c r="V23" s="59">
        <f>IF('finals'!H23="","",'finals'!H23)</f>
        <v/>
      </c>
      <c r="W23" s="59">
        <f>IF('finals'!I23="","",'finals'!I23)</f>
        <v/>
      </c>
      <c r="X23" s="59">
        <f>IF('finals'!J23="","",'finals'!J23)</f>
        <v/>
      </c>
      <c r="Y23" s="59">
        <f>IF('finals'!K23="","",'finals'!K23)</f>
        <v/>
      </c>
      <c r="Z23" s="59">
        <f>IF('finals'!L23="","",'finals'!L23)</f>
        <v/>
      </c>
      <c r="AA23" s="59">
        <f>IF('finals'!M23="","",'finals'!M23)</f>
        <v/>
      </c>
      <c r="AB23" s="59">
        <f>IF('finals'!N23="","",'finals'!N23)</f>
        <v/>
      </c>
      <c r="AC23" s="59">
        <f>IF('finals'!O23="","",'finals'!O23)</f>
        <v/>
      </c>
      <c r="AD23" s="59">
        <f>IF('finals'!P23="","",'finals'!P23)</f>
        <v/>
      </c>
      <c r="AE23" s="38">
        <f>'midterms'!Q23</f>
        <v/>
      </c>
      <c r="AF23" s="54" t="n"/>
      <c r="AG23" s="38">
        <f>'finals'!Q23</f>
        <v/>
      </c>
      <c r="AH23" s="54" t="n"/>
      <c r="AI23" s="38">
        <f>IF(OR(AE23="",AG23=""),IF(AND(AE23="",AG23=""),"",IF(AE23="",AG23,AE23)),AE23+AG23)</f>
        <v/>
      </c>
      <c r="AJ23" s="54" t="n"/>
    </row>
    <row r="24" ht="25" customFormat="1" customHeight="1" s="5">
      <c r="A24" s="55">
        <f>'midterms'!A24</f>
        <v/>
      </c>
      <c r="B24" s="56">
        <f>'midterms'!B24</f>
        <v/>
      </c>
      <c r="C24" s="60">
        <f>IF('midterms'!C24="","",'midterms'!C24)</f>
        <v/>
      </c>
      <c r="D24" s="60">
        <f>IF('midterms'!D24="","",'midterms'!D24)</f>
        <v/>
      </c>
      <c r="E24" s="60">
        <f>IF('midterms'!E24="","",'midterms'!E24)</f>
        <v/>
      </c>
      <c r="F24" s="60">
        <f>IF('midterms'!F24="","",'midterms'!F24)</f>
        <v/>
      </c>
      <c r="G24" s="60">
        <f>IF('midterms'!G24="","",'midterms'!G24)</f>
        <v/>
      </c>
      <c r="H24" s="60">
        <f>IF('midterms'!H24="","",'midterms'!H24)</f>
        <v/>
      </c>
      <c r="I24" s="60">
        <f>IF('midterms'!I24="","",'midterms'!I24)</f>
        <v/>
      </c>
      <c r="J24" s="60">
        <f>IF('midterms'!J24="","",'midterms'!J24)</f>
        <v/>
      </c>
      <c r="K24" s="60">
        <f>IF('midterms'!K24="","",'midterms'!K24)</f>
        <v/>
      </c>
      <c r="L24" s="60">
        <f>IF('midterms'!L24="","",'midterms'!L24)</f>
        <v/>
      </c>
      <c r="M24" s="60">
        <f>IF('midterms'!M24="","",'midterms'!M24)</f>
        <v/>
      </c>
      <c r="N24" s="60">
        <f>IF('midterms'!N24="","",'midterms'!N24)</f>
        <v/>
      </c>
      <c r="O24" s="60">
        <f>IF('midterms'!O24="","",'midterms'!O24)</f>
        <v/>
      </c>
      <c r="P24" s="60">
        <f>IF('midterms'!P24="","",'midterms'!P24)</f>
        <v/>
      </c>
      <c r="Q24" s="60">
        <f>IF('finals'!C24="","",'finals'!C24)</f>
        <v/>
      </c>
      <c r="R24" s="60">
        <f>IF('finals'!D24="","",'finals'!D24)</f>
        <v/>
      </c>
      <c r="S24" s="60">
        <f>IF('finals'!E24="","",'finals'!E24)</f>
        <v/>
      </c>
      <c r="T24" s="60">
        <f>IF('finals'!F24="","",'finals'!F24)</f>
        <v/>
      </c>
      <c r="U24" s="60">
        <f>IF('finals'!G24="","",'finals'!G24)</f>
        <v/>
      </c>
      <c r="V24" s="60">
        <f>IF('finals'!H24="","",'finals'!H24)</f>
        <v/>
      </c>
      <c r="W24" s="60">
        <f>IF('finals'!I24="","",'finals'!I24)</f>
        <v/>
      </c>
      <c r="X24" s="60">
        <f>IF('finals'!J24="","",'finals'!J24)</f>
        <v/>
      </c>
      <c r="Y24" s="60">
        <f>IF('finals'!K24="","",'finals'!K24)</f>
        <v/>
      </c>
      <c r="Z24" s="60">
        <f>IF('finals'!L24="","",'finals'!L24)</f>
        <v/>
      </c>
      <c r="AA24" s="60">
        <f>IF('finals'!M24="","",'finals'!M24)</f>
        <v/>
      </c>
      <c r="AB24" s="60">
        <f>IF('finals'!N24="","",'finals'!N24)</f>
        <v/>
      </c>
      <c r="AC24" s="60">
        <f>IF('finals'!O24="","",'finals'!O24)</f>
        <v/>
      </c>
      <c r="AD24" s="60">
        <f>IF('finals'!P24="","",'finals'!P24)</f>
        <v/>
      </c>
      <c r="AE24" s="40">
        <f>'midterms'!Q24</f>
        <v/>
      </c>
      <c r="AF24" s="54" t="n"/>
      <c r="AG24" s="40">
        <f>'finals'!Q24</f>
        <v/>
      </c>
      <c r="AH24" s="54" t="n"/>
      <c r="AI24" s="40">
        <f>IF(OR(AE24="",AG24=""),IF(AND(AE24="",AG24=""),"",IF(AE24="",AG24,AE24)),AE24+AG24)</f>
        <v/>
      </c>
      <c r="AJ24" s="54" t="n"/>
    </row>
    <row r="25" ht="25" customFormat="1" customHeight="1" s="5">
      <c r="A25" s="51">
        <f>'midterms'!A25</f>
        <v/>
      </c>
      <c r="B25" s="52">
        <f>'midterms'!B25</f>
        <v/>
      </c>
      <c r="C25" s="59">
        <f>IF('midterms'!C25="","",'midterms'!C25)</f>
        <v/>
      </c>
      <c r="D25" s="59">
        <f>IF('midterms'!D25="","",'midterms'!D25)</f>
        <v/>
      </c>
      <c r="E25" s="59">
        <f>IF('midterms'!E25="","",'midterms'!E25)</f>
        <v/>
      </c>
      <c r="F25" s="59">
        <f>IF('midterms'!F25="","",'midterms'!F25)</f>
        <v/>
      </c>
      <c r="G25" s="59">
        <f>IF('midterms'!G25="","",'midterms'!G25)</f>
        <v/>
      </c>
      <c r="H25" s="59">
        <f>IF('midterms'!H25="","",'midterms'!H25)</f>
        <v/>
      </c>
      <c r="I25" s="59">
        <f>IF('midterms'!I25="","",'midterms'!I25)</f>
        <v/>
      </c>
      <c r="J25" s="59">
        <f>IF('midterms'!J25="","",'midterms'!J25)</f>
        <v/>
      </c>
      <c r="K25" s="59">
        <f>IF('midterms'!K25="","",'midterms'!K25)</f>
        <v/>
      </c>
      <c r="L25" s="59">
        <f>IF('midterms'!L25="","",'midterms'!L25)</f>
        <v/>
      </c>
      <c r="M25" s="59">
        <f>IF('midterms'!M25="","",'midterms'!M25)</f>
        <v/>
      </c>
      <c r="N25" s="59">
        <f>IF('midterms'!N25="","",'midterms'!N25)</f>
        <v/>
      </c>
      <c r="O25" s="59">
        <f>IF('midterms'!O25="","",'midterms'!O25)</f>
        <v/>
      </c>
      <c r="P25" s="59">
        <f>IF('midterms'!P25="","",'midterms'!P25)</f>
        <v/>
      </c>
      <c r="Q25" s="59">
        <f>IF('finals'!C25="","",'finals'!C25)</f>
        <v/>
      </c>
      <c r="R25" s="59">
        <f>IF('finals'!D25="","",'finals'!D25)</f>
        <v/>
      </c>
      <c r="S25" s="59">
        <f>IF('finals'!E25="","",'finals'!E25)</f>
        <v/>
      </c>
      <c r="T25" s="59">
        <f>IF('finals'!F25="","",'finals'!F25)</f>
        <v/>
      </c>
      <c r="U25" s="59">
        <f>IF('finals'!G25="","",'finals'!G25)</f>
        <v/>
      </c>
      <c r="V25" s="59">
        <f>IF('finals'!H25="","",'finals'!H25)</f>
        <v/>
      </c>
      <c r="W25" s="59">
        <f>IF('finals'!I25="","",'finals'!I25)</f>
        <v/>
      </c>
      <c r="X25" s="59">
        <f>IF('finals'!J25="","",'finals'!J25)</f>
        <v/>
      </c>
      <c r="Y25" s="59">
        <f>IF('finals'!K25="","",'finals'!K25)</f>
        <v/>
      </c>
      <c r="Z25" s="59">
        <f>IF('finals'!L25="","",'finals'!L25)</f>
        <v/>
      </c>
      <c r="AA25" s="59">
        <f>IF('finals'!M25="","",'finals'!M25)</f>
        <v/>
      </c>
      <c r="AB25" s="59">
        <f>IF('finals'!N25="","",'finals'!N25)</f>
        <v/>
      </c>
      <c r="AC25" s="59">
        <f>IF('finals'!O25="","",'finals'!O25)</f>
        <v/>
      </c>
      <c r="AD25" s="59">
        <f>IF('finals'!P25="","",'finals'!P25)</f>
        <v/>
      </c>
      <c r="AE25" s="38">
        <f>'midterms'!Q25</f>
        <v/>
      </c>
      <c r="AF25" s="54" t="n"/>
      <c r="AG25" s="38">
        <f>'finals'!Q25</f>
        <v/>
      </c>
      <c r="AH25" s="54" t="n"/>
      <c r="AI25" s="38">
        <f>IF(OR(AE25="",AG25=""),IF(AND(AE25="",AG25=""),"",IF(AE25="",AG25,AE25)),AE25+AG25)</f>
        <v/>
      </c>
      <c r="AJ25" s="54" t="n"/>
    </row>
    <row r="26" ht="25" customFormat="1" customHeight="1" s="5">
      <c r="A26" s="55">
        <f>'midterms'!A26</f>
        <v/>
      </c>
      <c r="B26" s="56">
        <f>'midterms'!B26</f>
        <v/>
      </c>
      <c r="C26" s="60">
        <f>IF('midterms'!C26="","",'midterms'!C26)</f>
        <v/>
      </c>
      <c r="D26" s="60">
        <f>IF('midterms'!D26="","",'midterms'!D26)</f>
        <v/>
      </c>
      <c r="E26" s="60">
        <f>IF('midterms'!E26="","",'midterms'!E26)</f>
        <v/>
      </c>
      <c r="F26" s="60">
        <f>IF('midterms'!F26="","",'midterms'!F26)</f>
        <v/>
      </c>
      <c r="G26" s="60">
        <f>IF('midterms'!G26="","",'midterms'!G26)</f>
        <v/>
      </c>
      <c r="H26" s="60">
        <f>IF('midterms'!H26="","",'midterms'!H26)</f>
        <v/>
      </c>
      <c r="I26" s="60">
        <f>IF('midterms'!I26="","",'midterms'!I26)</f>
        <v/>
      </c>
      <c r="J26" s="60">
        <f>IF('midterms'!J26="","",'midterms'!J26)</f>
        <v/>
      </c>
      <c r="K26" s="60">
        <f>IF('midterms'!K26="","",'midterms'!K26)</f>
        <v/>
      </c>
      <c r="L26" s="60">
        <f>IF('midterms'!L26="","",'midterms'!L26)</f>
        <v/>
      </c>
      <c r="M26" s="60">
        <f>IF('midterms'!M26="","",'midterms'!M26)</f>
        <v/>
      </c>
      <c r="N26" s="60">
        <f>IF('midterms'!N26="","",'midterms'!N26)</f>
        <v/>
      </c>
      <c r="O26" s="60">
        <f>IF('midterms'!O26="","",'midterms'!O26)</f>
        <v/>
      </c>
      <c r="P26" s="60">
        <f>IF('midterms'!P26="","",'midterms'!P26)</f>
        <v/>
      </c>
      <c r="Q26" s="60">
        <f>IF('finals'!C26="","",'finals'!C26)</f>
        <v/>
      </c>
      <c r="R26" s="60">
        <f>IF('finals'!D26="","",'finals'!D26)</f>
        <v/>
      </c>
      <c r="S26" s="60">
        <f>IF('finals'!E26="","",'finals'!E26)</f>
        <v/>
      </c>
      <c r="T26" s="60">
        <f>IF('finals'!F26="","",'finals'!F26)</f>
        <v/>
      </c>
      <c r="U26" s="60">
        <f>IF('finals'!G26="","",'finals'!G26)</f>
        <v/>
      </c>
      <c r="V26" s="60">
        <f>IF('finals'!H26="","",'finals'!H26)</f>
        <v/>
      </c>
      <c r="W26" s="60">
        <f>IF('finals'!I26="","",'finals'!I26)</f>
        <v/>
      </c>
      <c r="X26" s="60">
        <f>IF('finals'!J26="","",'finals'!J26)</f>
        <v/>
      </c>
      <c r="Y26" s="60">
        <f>IF('finals'!K26="","",'finals'!K26)</f>
        <v/>
      </c>
      <c r="Z26" s="60">
        <f>IF('finals'!L26="","",'finals'!L26)</f>
        <v/>
      </c>
      <c r="AA26" s="60">
        <f>IF('finals'!M26="","",'finals'!M26)</f>
        <v/>
      </c>
      <c r="AB26" s="60">
        <f>IF('finals'!N26="","",'finals'!N26)</f>
        <v/>
      </c>
      <c r="AC26" s="60">
        <f>IF('finals'!O26="","",'finals'!O26)</f>
        <v/>
      </c>
      <c r="AD26" s="60">
        <f>IF('finals'!P26="","",'finals'!P26)</f>
        <v/>
      </c>
      <c r="AE26" s="40">
        <f>'midterms'!Q26</f>
        <v/>
      </c>
      <c r="AF26" s="54" t="n"/>
      <c r="AG26" s="40">
        <f>'finals'!Q26</f>
        <v/>
      </c>
      <c r="AH26" s="54" t="n"/>
      <c r="AI26" s="40">
        <f>IF(OR(AE26="",AG26=""),IF(AND(AE26="",AG26=""),"",IF(AE26="",AG26,AE26)),AE26+AG26)</f>
        <v/>
      </c>
      <c r="AJ26" s="54" t="n"/>
    </row>
    <row r="27" ht="25" customFormat="1" customHeight="1" s="5">
      <c r="A27" s="51">
        <f>'midterms'!A27</f>
        <v/>
      </c>
      <c r="B27" s="52">
        <f>'midterms'!B27</f>
        <v/>
      </c>
      <c r="C27" s="59">
        <f>IF('midterms'!C27="","",'midterms'!C27)</f>
        <v/>
      </c>
      <c r="D27" s="59">
        <f>IF('midterms'!D27="","",'midterms'!D27)</f>
        <v/>
      </c>
      <c r="E27" s="59">
        <f>IF('midterms'!E27="","",'midterms'!E27)</f>
        <v/>
      </c>
      <c r="F27" s="59">
        <f>IF('midterms'!F27="","",'midterms'!F27)</f>
        <v/>
      </c>
      <c r="G27" s="59">
        <f>IF('midterms'!G27="","",'midterms'!G27)</f>
        <v/>
      </c>
      <c r="H27" s="59">
        <f>IF('midterms'!H27="","",'midterms'!H27)</f>
        <v/>
      </c>
      <c r="I27" s="59">
        <f>IF('midterms'!I27="","",'midterms'!I27)</f>
        <v/>
      </c>
      <c r="J27" s="59">
        <f>IF('midterms'!J27="","",'midterms'!J27)</f>
        <v/>
      </c>
      <c r="K27" s="59">
        <f>IF('midterms'!K27="","",'midterms'!K27)</f>
        <v/>
      </c>
      <c r="L27" s="59">
        <f>IF('midterms'!L27="","",'midterms'!L27)</f>
        <v/>
      </c>
      <c r="M27" s="59">
        <f>IF('midterms'!M27="","",'midterms'!M27)</f>
        <v/>
      </c>
      <c r="N27" s="59">
        <f>IF('midterms'!N27="","",'midterms'!N27)</f>
        <v/>
      </c>
      <c r="O27" s="59">
        <f>IF('midterms'!O27="","",'midterms'!O27)</f>
        <v/>
      </c>
      <c r="P27" s="59">
        <f>IF('midterms'!P27="","",'midterms'!P27)</f>
        <v/>
      </c>
      <c r="Q27" s="59">
        <f>IF('finals'!C27="","",'finals'!C27)</f>
        <v/>
      </c>
      <c r="R27" s="59">
        <f>IF('finals'!D27="","",'finals'!D27)</f>
        <v/>
      </c>
      <c r="S27" s="59">
        <f>IF('finals'!E27="","",'finals'!E27)</f>
        <v/>
      </c>
      <c r="T27" s="59">
        <f>IF('finals'!F27="","",'finals'!F27)</f>
        <v/>
      </c>
      <c r="U27" s="59">
        <f>IF('finals'!G27="","",'finals'!G27)</f>
        <v/>
      </c>
      <c r="V27" s="59">
        <f>IF('finals'!H27="","",'finals'!H27)</f>
        <v/>
      </c>
      <c r="W27" s="59">
        <f>IF('finals'!I27="","",'finals'!I27)</f>
        <v/>
      </c>
      <c r="X27" s="59">
        <f>IF('finals'!J27="","",'finals'!J27)</f>
        <v/>
      </c>
      <c r="Y27" s="59">
        <f>IF('finals'!K27="","",'finals'!K27)</f>
        <v/>
      </c>
      <c r="Z27" s="59">
        <f>IF('finals'!L27="","",'finals'!L27)</f>
        <v/>
      </c>
      <c r="AA27" s="59">
        <f>IF('finals'!M27="","",'finals'!M27)</f>
        <v/>
      </c>
      <c r="AB27" s="59">
        <f>IF('finals'!N27="","",'finals'!N27)</f>
        <v/>
      </c>
      <c r="AC27" s="59">
        <f>IF('finals'!O27="","",'finals'!O27)</f>
        <v/>
      </c>
      <c r="AD27" s="59">
        <f>IF('finals'!P27="","",'finals'!P27)</f>
        <v/>
      </c>
      <c r="AE27" s="38">
        <f>'midterms'!Q27</f>
        <v/>
      </c>
      <c r="AF27" s="54" t="n"/>
      <c r="AG27" s="38">
        <f>'finals'!Q27</f>
        <v/>
      </c>
      <c r="AH27" s="54" t="n"/>
      <c r="AI27" s="38">
        <f>IF(OR(AE27="",AG27=""),IF(AND(AE27="",AG27=""),"",IF(AE27="",AG27,AE27)),AE27+AG27)</f>
        <v/>
      </c>
      <c r="AJ27" s="54" t="n"/>
    </row>
    <row r="28" ht="25" customFormat="1" customHeight="1" s="5">
      <c r="A28" s="55">
        <f>'midterms'!A28</f>
        <v/>
      </c>
      <c r="B28" s="56">
        <f>'midterms'!B28</f>
        <v/>
      </c>
      <c r="C28" s="60">
        <f>IF('midterms'!C28="","",'midterms'!C28)</f>
        <v/>
      </c>
      <c r="D28" s="60">
        <f>IF('midterms'!D28="","",'midterms'!D28)</f>
        <v/>
      </c>
      <c r="E28" s="60">
        <f>IF('midterms'!E28="","",'midterms'!E28)</f>
        <v/>
      </c>
      <c r="F28" s="60">
        <f>IF('midterms'!F28="","",'midterms'!F28)</f>
        <v/>
      </c>
      <c r="G28" s="60">
        <f>IF('midterms'!G28="","",'midterms'!G28)</f>
        <v/>
      </c>
      <c r="H28" s="60">
        <f>IF('midterms'!H28="","",'midterms'!H28)</f>
        <v/>
      </c>
      <c r="I28" s="60">
        <f>IF('midterms'!I28="","",'midterms'!I28)</f>
        <v/>
      </c>
      <c r="J28" s="60">
        <f>IF('midterms'!J28="","",'midterms'!J28)</f>
        <v/>
      </c>
      <c r="K28" s="60">
        <f>IF('midterms'!K28="","",'midterms'!K28)</f>
        <v/>
      </c>
      <c r="L28" s="60">
        <f>IF('midterms'!L28="","",'midterms'!L28)</f>
        <v/>
      </c>
      <c r="M28" s="60">
        <f>IF('midterms'!M28="","",'midterms'!M28)</f>
        <v/>
      </c>
      <c r="N28" s="60">
        <f>IF('midterms'!N28="","",'midterms'!N28)</f>
        <v/>
      </c>
      <c r="O28" s="60">
        <f>IF('midterms'!O28="","",'midterms'!O28)</f>
        <v/>
      </c>
      <c r="P28" s="60">
        <f>IF('midterms'!P28="","",'midterms'!P28)</f>
        <v/>
      </c>
      <c r="Q28" s="60">
        <f>IF('finals'!C28="","",'finals'!C28)</f>
        <v/>
      </c>
      <c r="R28" s="60">
        <f>IF('finals'!D28="","",'finals'!D28)</f>
        <v/>
      </c>
      <c r="S28" s="60">
        <f>IF('finals'!E28="","",'finals'!E28)</f>
        <v/>
      </c>
      <c r="T28" s="60">
        <f>IF('finals'!F28="","",'finals'!F28)</f>
        <v/>
      </c>
      <c r="U28" s="60">
        <f>IF('finals'!G28="","",'finals'!G28)</f>
        <v/>
      </c>
      <c r="V28" s="60">
        <f>IF('finals'!H28="","",'finals'!H28)</f>
        <v/>
      </c>
      <c r="W28" s="60">
        <f>IF('finals'!I28="","",'finals'!I28)</f>
        <v/>
      </c>
      <c r="X28" s="60">
        <f>IF('finals'!J28="","",'finals'!J28)</f>
        <v/>
      </c>
      <c r="Y28" s="60">
        <f>IF('finals'!K28="","",'finals'!K28)</f>
        <v/>
      </c>
      <c r="Z28" s="60">
        <f>IF('finals'!L28="","",'finals'!L28)</f>
        <v/>
      </c>
      <c r="AA28" s="60">
        <f>IF('finals'!M28="","",'finals'!M28)</f>
        <v/>
      </c>
      <c r="AB28" s="60">
        <f>IF('finals'!N28="","",'finals'!N28)</f>
        <v/>
      </c>
      <c r="AC28" s="60">
        <f>IF('finals'!O28="","",'finals'!O28)</f>
        <v/>
      </c>
      <c r="AD28" s="60">
        <f>IF('finals'!P28="","",'finals'!P28)</f>
        <v/>
      </c>
      <c r="AE28" s="40">
        <f>'midterms'!Q28</f>
        <v/>
      </c>
      <c r="AF28" s="54" t="n"/>
      <c r="AG28" s="40">
        <f>'finals'!Q28</f>
        <v/>
      </c>
      <c r="AH28" s="54" t="n"/>
      <c r="AI28" s="40">
        <f>IF(OR(AE28="",AG28=""),IF(AND(AE28="",AG28=""),"",IF(AE28="",AG28,AE28)),AE28+AG28)</f>
        <v/>
      </c>
      <c r="AJ28" s="54" t="n"/>
    </row>
    <row r="29" ht="25" customFormat="1" customHeight="1" s="5">
      <c r="A29" s="51">
        <f>'midterms'!A29</f>
        <v/>
      </c>
      <c r="B29" s="52">
        <f>'midterms'!B29</f>
        <v/>
      </c>
      <c r="C29" s="59">
        <f>IF('midterms'!C29="","",'midterms'!C29)</f>
        <v/>
      </c>
      <c r="D29" s="59">
        <f>IF('midterms'!D29="","",'midterms'!D29)</f>
        <v/>
      </c>
      <c r="E29" s="59">
        <f>IF('midterms'!E29="","",'midterms'!E29)</f>
        <v/>
      </c>
      <c r="F29" s="59">
        <f>IF('midterms'!F29="","",'midterms'!F29)</f>
        <v/>
      </c>
      <c r="G29" s="59">
        <f>IF('midterms'!G29="","",'midterms'!G29)</f>
        <v/>
      </c>
      <c r="H29" s="59">
        <f>IF('midterms'!H29="","",'midterms'!H29)</f>
        <v/>
      </c>
      <c r="I29" s="59">
        <f>IF('midterms'!I29="","",'midterms'!I29)</f>
        <v/>
      </c>
      <c r="J29" s="59">
        <f>IF('midterms'!J29="","",'midterms'!J29)</f>
        <v/>
      </c>
      <c r="K29" s="59">
        <f>IF('midterms'!K29="","",'midterms'!K29)</f>
        <v/>
      </c>
      <c r="L29" s="59">
        <f>IF('midterms'!L29="","",'midterms'!L29)</f>
        <v/>
      </c>
      <c r="M29" s="59">
        <f>IF('midterms'!M29="","",'midterms'!M29)</f>
        <v/>
      </c>
      <c r="N29" s="59">
        <f>IF('midterms'!N29="","",'midterms'!N29)</f>
        <v/>
      </c>
      <c r="O29" s="59">
        <f>IF('midterms'!O29="","",'midterms'!O29)</f>
        <v/>
      </c>
      <c r="P29" s="59">
        <f>IF('midterms'!P29="","",'midterms'!P29)</f>
        <v/>
      </c>
      <c r="Q29" s="59">
        <f>IF('finals'!C29="","",'finals'!C29)</f>
        <v/>
      </c>
      <c r="R29" s="59">
        <f>IF('finals'!D29="","",'finals'!D29)</f>
        <v/>
      </c>
      <c r="S29" s="59">
        <f>IF('finals'!E29="","",'finals'!E29)</f>
        <v/>
      </c>
      <c r="T29" s="59">
        <f>IF('finals'!F29="","",'finals'!F29)</f>
        <v/>
      </c>
      <c r="U29" s="59">
        <f>IF('finals'!G29="","",'finals'!G29)</f>
        <v/>
      </c>
      <c r="V29" s="59">
        <f>IF('finals'!H29="","",'finals'!H29)</f>
        <v/>
      </c>
      <c r="W29" s="59">
        <f>IF('finals'!I29="","",'finals'!I29)</f>
        <v/>
      </c>
      <c r="X29" s="59">
        <f>IF('finals'!J29="","",'finals'!J29)</f>
        <v/>
      </c>
      <c r="Y29" s="59">
        <f>IF('finals'!K29="","",'finals'!K29)</f>
        <v/>
      </c>
      <c r="Z29" s="59">
        <f>IF('finals'!L29="","",'finals'!L29)</f>
        <v/>
      </c>
      <c r="AA29" s="59">
        <f>IF('finals'!M29="","",'finals'!M29)</f>
        <v/>
      </c>
      <c r="AB29" s="59">
        <f>IF('finals'!N29="","",'finals'!N29)</f>
        <v/>
      </c>
      <c r="AC29" s="59">
        <f>IF('finals'!O29="","",'finals'!O29)</f>
        <v/>
      </c>
      <c r="AD29" s="59">
        <f>IF('finals'!P29="","",'finals'!P29)</f>
        <v/>
      </c>
      <c r="AE29" s="38">
        <f>'midterms'!Q29</f>
        <v/>
      </c>
      <c r="AF29" s="54" t="n"/>
      <c r="AG29" s="38">
        <f>'finals'!Q29</f>
        <v/>
      </c>
      <c r="AH29" s="54" t="n"/>
      <c r="AI29" s="38">
        <f>IF(OR(AE29="",AG29=""),IF(AND(AE29="",AG29=""),"",IF(AE29="",AG29,AE29)),AE29+AG29)</f>
        <v/>
      </c>
      <c r="AJ29" s="54" t="n"/>
    </row>
    <row r="30" ht="25" customFormat="1" customHeight="1" s="5">
      <c r="A30" s="55">
        <f>'midterms'!A30</f>
        <v/>
      </c>
      <c r="B30" s="56">
        <f>'midterms'!B30</f>
        <v/>
      </c>
      <c r="C30" s="60">
        <f>IF('midterms'!C30="","",'midterms'!C30)</f>
        <v/>
      </c>
      <c r="D30" s="60">
        <f>IF('midterms'!D30="","",'midterms'!D30)</f>
        <v/>
      </c>
      <c r="E30" s="60">
        <f>IF('midterms'!E30="","",'midterms'!E30)</f>
        <v/>
      </c>
      <c r="F30" s="60">
        <f>IF('midterms'!F30="","",'midterms'!F30)</f>
        <v/>
      </c>
      <c r="G30" s="60">
        <f>IF('midterms'!G30="","",'midterms'!G30)</f>
        <v/>
      </c>
      <c r="H30" s="60">
        <f>IF('midterms'!H30="","",'midterms'!H30)</f>
        <v/>
      </c>
      <c r="I30" s="60">
        <f>IF('midterms'!I30="","",'midterms'!I30)</f>
        <v/>
      </c>
      <c r="J30" s="60">
        <f>IF('midterms'!J30="","",'midterms'!J30)</f>
        <v/>
      </c>
      <c r="K30" s="60">
        <f>IF('midterms'!K30="","",'midterms'!K30)</f>
        <v/>
      </c>
      <c r="L30" s="60">
        <f>IF('midterms'!L30="","",'midterms'!L30)</f>
        <v/>
      </c>
      <c r="M30" s="60">
        <f>IF('midterms'!M30="","",'midterms'!M30)</f>
        <v/>
      </c>
      <c r="N30" s="60">
        <f>IF('midterms'!N30="","",'midterms'!N30)</f>
        <v/>
      </c>
      <c r="O30" s="60">
        <f>IF('midterms'!O30="","",'midterms'!O30)</f>
        <v/>
      </c>
      <c r="P30" s="60">
        <f>IF('midterms'!P30="","",'midterms'!P30)</f>
        <v/>
      </c>
      <c r="Q30" s="60">
        <f>IF('finals'!C30="","",'finals'!C30)</f>
        <v/>
      </c>
      <c r="R30" s="60">
        <f>IF('finals'!D30="","",'finals'!D30)</f>
        <v/>
      </c>
      <c r="S30" s="60">
        <f>IF('finals'!E30="","",'finals'!E30)</f>
        <v/>
      </c>
      <c r="T30" s="60">
        <f>IF('finals'!F30="","",'finals'!F30)</f>
        <v/>
      </c>
      <c r="U30" s="60">
        <f>IF('finals'!G30="","",'finals'!G30)</f>
        <v/>
      </c>
      <c r="V30" s="60">
        <f>IF('finals'!H30="","",'finals'!H30)</f>
        <v/>
      </c>
      <c r="W30" s="60">
        <f>IF('finals'!I30="","",'finals'!I30)</f>
        <v/>
      </c>
      <c r="X30" s="60">
        <f>IF('finals'!J30="","",'finals'!J30)</f>
        <v/>
      </c>
      <c r="Y30" s="60">
        <f>IF('finals'!K30="","",'finals'!K30)</f>
        <v/>
      </c>
      <c r="Z30" s="60">
        <f>IF('finals'!L30="","",'finals'!L30)</f>
        <v/>
      </c>
      <c r="AA30" s="60">
        <f>IF('finals'!M30="","",'finals'!M30)</f>
        <v/>
      </c>
      <c r="AB30" s="60">
        <f>IF('finals'!N30="","",'finals'!N30)</f>
        <v/>
      </c>
      <c r="AC30" s="60">
        <f>IF('finals'!O30="","",'finals'!O30)</f>
        <v/>
      </c>
      <c r="AD30" s="60">
        <f>IF('finals'!P30="","",'finals'!P30)</f>
        <v/>
      </c>
      <c r="AE30" s="40">
        <f>'midterms'!Q30</f>
        <v/>
      </c>
      <c r="AF30" s="54" t="n"/>
      <c r="AG30" s="40">
        <f>'finals'!Q30</f>
        <v/>
      </c>
      <c r="AH30" s="54" t="n"/>
      <c r="AI30" s="40">
        <f>IF(OR(AE30="",AG30=""),IF(AND(AE30="",AG30=""),"",IF(AE30="",AG30,AE30)),AE30+AG30)</f>
        <v/>
      </c>
      <c r="AJ30" s="54" t="n"/>
    </row>
    <row r="31" ht="25" customFormat="1" customHeight="1" s="5">
      <c r="A31" s="51">
        <f>'midterms'!A31</f>
        <v/>
      </c>
      <c r="B31" s="52">
        <f>'midterms'!B31</f>
        <v/>
      </c>
      <c r="C31" s="59">
        <f>IF('midterms'!C31="","",'midterms'!C31)</f>
        <v/>
      </c>
      <c r="D31" s="59">
        <f>IF('midterms'!D31="","",'midterms'!D31)</f>
        <v/>
      </c>
      <c r="E31" s="59">
        <f>IF('midterms'!E31="","",'midterms'!E31)</f>
        <v/>
      </c>
      <c r="F31" s="59">
        <f>IF('midterms'!F31="","",'midterms'!F31)</f>
        <v/>
      </c>
      <c r="G31" s="59">
        <f>IF('midterms'!G31="","",'midterms'!G31)</f>
        <v/>
      </c>
      <c r="H31" s="59">
        <f>IF('midterms'!H31="","",'midterms'!H31)</f>
        <v/>
      </c>
      <c r="I31" s="59">
        <f>IF('midterms'!I31="","",'midterms'!I31)</f>
        <v/>
      </c>
      <c r="J31" s="59">
        <f>IF('midterms'!J31="","",'midterms'!J31)</f>
        <v/>
      </c>
      <c r="K31" s="59">
        <f>IF('midterms'!K31="","",'midterms'!K31)</f>
        <v/>
      </c>
      <c r="L31" s="59">
        <f>IF('midterms'!L31="","",'midterms'!L31)</f>
        <v/>
      </c>
      <c r="M31" s="59">
        <f>IF('midterms'!M31="","",'midterms'!M31)</f>
        <v/>
      </c>
      <c r="N31" s="59">
        <f>IF('midterms'!N31="","",'midterms'!N31)</f>
        <v/>
      </c>
      <c r="O31" s="59">
        <f>IF('midterms'!O31="","",'midterms'!O31)</f>
        <v/>
      </c>
      <c r="P31" s="59">
        <f>IF('midterms'!P31="","",'midterms'!P31)</f>
        <v/>
      </c>
      <c r="Q31" s="59">
        <f>IF('finals'!C31="","",'finals'!C31)</f>
        <v/>
      </c>
      <c r="R31" s="59">
        <f>IF('finals'!D31="","",'finals'!D31)</f>
        <v/>
      </c>
      <c r="S31" s="59">
        <f>IF('finals'!E31="","",'finals'!E31)</f>
        <v/>
      </c>
      <c r="T31" s="59">
        <f>IF('finals'!F31="","",'finals'!F31)</f>
        <v/>
      </c>
      <c r="U31" s="59">
        <f>IF('finals'!G31="","",'finals'!G31)</f>
        <v/>
      </c>
      <c r="V31" s="59">
        <f>IF('finals'!H31="","",'finals'!H31)</f>
        <v/>
      </c>
      <c r="W31" s="59">
        <f>IF('finals'!I31="","",'finals'!I31)</f>
        <v/>
      </c>
      <c r="X31" s="59">
        <f>IF('finals'!J31="","",'finals'!J31)</f>
        <v/>
      </c>
      <c r="Y31" s="59">
        <f>IF('finals'!K31="","",'finals'!K31)</f>
        <v/>
      </c>
      <c r="Z31" s="59">
        <f>IF('finals'!L31="","",'finals'!L31)</f>
        <v/>
      </c>
      <c r="AA31" s="59">
        <f>IF('finals'!M31="","",'finals'!M31)</f>
        <v/>
      </c>
      <c r="AB31" s="59">
        <f>IF('finals'!N31="","",'finals'!N31)</f>
        <v/>
      </c>
      <c r="AC31" s="59">
        <f>IF('finals'!O31="","",'finals'!O31)</f>
        <v/>
      </c>
      <c r="AD31" s="59">
        <f>IF('finals'!P31="","",'finals'!P31)</f>
        <v/>
      </c>
      <c r="AE31" s="38">
        <f>'midterms'!Q31</f>
        <v/>
      </c>
      <c r="AF31" s="54" t="n"/>
      <c r="AG31" s="38">
        <f>'finals'!Q31</f>
        <v/>
      </c>
      <c r="AH31" s="54" t="n"/>
      <c r="AI31" s="38">
        <f>IF(OR(AE31="",AG31=""),IF(AND(AE31="",AG31=""),"",IF(AE31="",AG31,AE31)),AE31+AG31)</f>
        <v/>
      </c>
      <c r="AJ31" s="54" t="n"/>
    </row>
    <row r="32" ht="25" customFormat="1" customHeight="1" s="5">
      <c r="A32" s="55">
        <f>'midterms'!A32</f>
        <v/>
      </c>
      <c r="B32" s="56">
        <f>'midterms'!B32</f>
        <v/>
      </c>
      <c r="C32" s="60">
        <f>IF('midterms'!C32="","",'midterms'!C32)</f>
        <v/>
      </c>
      <c r="D32" s="60">
        <f>IF('midterms'!D32="","",'midterms'!D32)</f>
        <v/>
      </c>
      <c r="E32" s="60">
        <f>IF('midterms'!E32="","",'midterms'!E32)</f>
        <v/>
      </c>
      <c r="F32" s="60">
        <f>IF('midterms'!F32="","",'midterms'!F32)</f>
        <v/>
      </c>
      <c r="G32" s="60">
        <f>IF('midterms'!G32="","",'midterms'!G32)</f>
        <v/>
      </c>
      <c r="H32" s="60">
        <f>IF('midterms'!H32="","",'midterms'!H32)</f>
        <v/>
      </c>
      <c r="I32" s="60">
        <f>IF('midterms'!I32="","",'midterms'!I32)</f>
        <v/>
      </c>
      <c r="J32" s="60">
        <f>IF('midterms'!J32="","",'midterms'!J32)</f>
        <v/>
      </c>
      <c r="K32" s="60">
        <f>IF('midterms'!K32="","",'midterms'!K32)</f>
        <v/>
      </c>
      <c r="L32" s="60">
        <f>IF('midterms'!L32="","",'midterms'!L32)</f>
        <v/>
      </c>
      <c r="M32" s="60">
        <f>IF('midterms'!M32="","",'midterms'!M32)</f>
        <v/>
      </c>
      <c r="N32" s="60">
        <f>IF('midterms'!N32="","",'midterms'!N32)</f>
        <v/>
      </c>
      <c r="O32" s="60">
        <f>IF('midterms'!O32="","",'midterms'!O32)</f>
        <v/>
      </c>
      <c r="P32" s="60">
        <f>IF('midterms'!P32="","",'midterms'!P32)</f>
        <v/>
      </c>
      <c r="Q32" s="60">
        <f>IF('finals'!C32="","",'finals'!C32)</f>
        <v/>
      </c>
      <c r="R32" s="60">
        <f>IF('finals'!D32="","",'finals'!D32)</f>
        <v/>
      </c>
      <c r="S32" s="60">
        <f>IF('finals'!E32="","",'finals'!E32)</f>
        <v/>
      </c>
      <c r="T32" s="60">
        <f>IF('finals'!F32="","",'finals'!F32)</f>
        <v/>
      </c>
      <c r="U32" s="60">
        <f>IF('finals'!G32="","",'finals'!G32)</f>
        <v/>
      </c>
      <c r="V32" s="60">
        <f>IF('finals'!H32="","",'finals'!H32)</f>
        <v/>
      </c>
      <c r="W32" s="60">
        <f>IF('finals'!I32="","",'finals'!I32)</f>
        <v/>
      </c>
      <c r="X32" s="60">
        <f>IF('finals'!J32="","",'finals'!J32)</f>
        <v/>
      </c>
      <c r="Y32" s="60">
        <f>IF('finals'!K32="","",'finals'!K32)</f>
        <v/>
      </c>
      <c r="Z32" s="60">
        <f>IF('finals'!L32="","",'finals'!L32)</f>
        <v/>
      </c>
      <c r="AA32" s="60">
        <f>IF('finals'!M32="","",'finals'!M32)</f>
        <v/>
      </c>
      <c r="AB32" s="60">
        <f>IF('finals'!N32="","",'finals'!N32)</f>
        <v/>
      </c>
      <c r="AC32" s="60">
        <f>IF('finals'!O32="","",'finals'!O32)</f>
        <v/>
      </c>
      <c r="AD32" s="60">
        <f>IF('finals'!P32="","",'finals'!P32)</f>
        <v/>
      </c>
      <c r="AE32" s="40">
        <f>'midterms'!Q32</f>
        <v/>
      </c>
      <c r="AF32" s="54" t="n"/>
      <c r="AG32" s="40">
        <f>'finals'!Q32</f>
        <v/>
      </c>
      <c r="AH32" s="54" t="n"/>
      <c r="AI32" s="40">
        <f>IF(OR(AE32="",AG32=""),IF(AND(AE32="",AG32=""),"",IF(AE32="",AG32,AE32)),AE32+AG32)</f>
        <v/>
      </c>
      <c r="AJ32" s="54" t="n"/>
    </row>
    <row r="33" ht="25" customFormat="1" customHeight="1" s="5">
      <c r="A33" s="51">
        <f>'midterms'!A33</f>
        <v/>
      </c>
      <c r="B33" s="52">
        <f>'midterms'!B33</f>
        <v/>
      </c>
      <c r="C33" s="59">
        <f>IF('midterms'!C33="","",'midterms'!C33)</f>
        <v/>
      </c>
      <c r="D33" s="59">
        <f>IF('midterms'!D33="","",'midterms'!D33)</f>
        <v/>
      </c>
      <c r="E33" s="59">
        <f>IF('midterms'!E33="","",'midterms'!E33)</f>
        <v/>
      </c>
      <c r="F33" s="59">
        <f>IF('midterms'!F33="","",'midterms'!F33)</f>
        <v/>
      </c>
      <c r="G33" s="59">
        <f>IF('midterms'!G33="","",'midterms'!G33)</f>
        <v/>
      </c>
      <c r="H33" s="59">
        <f>IF('midterms'!H33="","",'midterms'!H33)</f>
        <v/>
      </c>
      <c r="I33" s="59">
        <f>IF('midterms'!I33="","",'midterms'!I33)</f>
        <v/>
      </c>
      <c r="J33" s="59">
        <f>IF('midterms'!J33="","",'midterms'!J33)</f>
        <v/>
      </c>
      <c r="K33" s="59">
        <f>IF('midterms'!K33="","",'midterms'!K33)</f>
        <v/>
      </c>
      <c r="L33" s="59">
        <f>IF('midterms'!L33="","",'midterms'!L33)</f>
        <v/>
      </c>
      <c r="M33" s="59">
        <f>IF('midterms'!M33="","",'midterms'!M33)</f>
        <v/>
      </c>
      <c r="N33" s="59">
        <f>IF('midterms'!N33="","",'midterms'!N33)</f>
        <v/>
      </c>
      <c r="O33" s="59">
        <f>IF('midterms'!O33="","",'midterms'!O33)</f>
        <v/>
      </c>
      <c r="P33" s="59">
        <f>IF('midterms'!P33="","",'midterms'!P33)</f>
        <v/>
      </c>
      <c r="Q33" s="59">
        <f>IF('finals'!C33="","",'finals'!C33)</f>
        <v/>
      </c>
      <c r="R33" s="59">
        <f>IF('finals'!D33="","",'finals'!D33)</f>
        <v/>
      </c>
      <c r="S33" s="59">
        <f>IF('finals'!E33="","",'finals'!E33)</f>
        <v/>
      </c>
      <c r="T33" s="59">
        <f>IF('finals'!F33="","",'finals'!F33)</f>
        <v/>
      </c>
      <c r="U33" s="59">
        <f>IF('finals'!G33="","",'finals'!G33)</f>
        <v/>
      </c>
      <c r="V33" s="59">
        <f>IF('finals'!H33="","",'finals'!H33)</f>
        <v/>
      </c>
      <c r="W33" s="59">
        <f>IF('finals'!I33="","",'finals'!I33)</f>
        <v/>
      </c>
      <c r="X33" s="59">
        <f>IF('finals'!J33="","",'finals'!J33)</f>
        <v/>
      </c>
      <c r="Y33" s="59">
        <f>IF('finals'!K33="","",'finals'!K33)</f>
        <v/>
      </c>
      <c r="Z33" s="59">
        <f>IF('finals'!L33="","",'finals'!L33)</f>
        <v/>
      </c>
      <c r="AA33" s="59">
        <f>IF('finals'!M33="","",'finals'!M33)</f>
        <v/>
      </c>
      <c r="AB33" s="59">
        <f>IF('finals'!N33="","",'finals'!N33)</f>
        <v/>
      </c>
      <c r="AC33" s="59">
        <f>IF('finals'!O33="","",'finals'!O33)</f>
        <v/>
      </c>
      <c r="AD33" s="59">
        <f>IF('finals'!P33="","",'finals'!P33)</f>
        <v/>
      </c>
      <c r="AE33" s="38">
        <f>'midterms'!Q33</f>
        <v/>
      </c>
      <c r="AF33" s="54" t="n"/>
      <c r="AG33" s="38">
        <f>'finals'!Q33</f>
        <v/>
      </c>
      <c r="AH33" s="54" t="n"/>
      <c r="AI33" s="38">
        <f>IF(OR(AE33="",AG33=""),IF(AND(AE33="",AG33=""),"",IF(AE33="",AG33,AE33)),AE33+AG33)</f>
        <v/>
      </c>
      <c r="AJ33" s="54" t="n"/>
    </row>
    <row r="34" ht="25" customFormat="1" customHeight="1" s="5">
      <c r="A34" s="55">
        <f>'midterms'!A34</f>
        <v/>
      </c>
      <c r="B34" s="56">
        <f>'midterms'!B34</f>
        <v/>
      </c>
      <c r="C34" s="60">
        <f>IF('midterms'!C34="","",'midterms'!C34)</f>
        <v/>
      </c>
      <c r="D34" s="60">
        <f>IF('midterms'!D34="","",'midterms'!D34)</f>
        <v/>
      </c>
      <c r="E34" s="60">
        <f>IF('midterms'!E34="","",'midterms'!E34)</f>
        <v/>
      </c>
      <c r="F34" s="60">
        <f>IF('midterms'!F34="","",'midterms'!F34)</f>
        <v/>
      </c>
      <c r="G34" s="60">
        <f>IF('midterms'!G34="","",'midterms'!G34)</f>
        <v/>
      </c>
      <c r="H34" s="60">
        <f>IF('midterms'!H34="","",'midterms'!H34)</f>
        <v/>
      </c>
      <c r="I34" s="60">
        <f>IF('midterms'!I34="","",'midterms'!I34)</f>
        <v/>
      </c>
      <c r="J34" s="60">
        <f>IF('midterms'!J34="","",'midterms'!J34)</f>
        <v/>
      </c>
      <c r="K34" s="60">
        <f>IF('midterms'!K34="","",'midterms'!K34)</f>
        <v/>
      </c>
      <c r="L34" s="60">
        <f>IF('midterms'!L34="","",'midterms'!L34)</f>
        <v/>
      </c>
      <c r="M34" s="60">
        <f>IF('midterms'!M34="","",'midterms'!M34)</f>
        <v/>
      </c>
      <c r="N34" s="60">
        <f>IF('midterms'!N34="","",'midterms'!N34)</f>
        <v/>
      </c>
      <c r="O34" s="60">
        <f>IF('midterms'!O34="","",'midterms'!O34)</f>
        <v/>
      </c>
      <c r="P34" s="60">
        <f>IF('midterms'!P34="","",'midterms'!P34)</f>
        <v/>
      </c>
      <c r="Q34" s="60">
        <f>IF('finals'!C34="","",'finals'!C34)</f>
        <v/>
      </c>
      <c r="R34" s="60">
        <f>IF('finals'!D34="","",'finals'!D34)</f>
        <v/>
      </c>
      <c r="S34" s="60">
        <f>IF('finals'!E34="","",'finals'!E34)</f>
        <v/>
      </c>
      <c r="T34" s="60">
        <f>IF('finals'!F34="","",'finals'!F34)</f>
        <v/>
      </c>
      <c r="U34" s="60">
        <f>IF('finals'!G34="","",'finals'!G34)</f>
        <v/>
      </c>
      <c r="V34" s="60">
        <f>IF('finals'!H34="","",'finals'!H34)</f>
        <v/>
      </c>
      <c r="W34" s="60">
        <f>IF('finals'!I34="","",'finals'!I34)</f>
        <v/>
      </c>
      <c r="X34" s="60">
        <f>IF('finals'!J34="","",'finals'!J34)</f>
        <v/>
      </c>
      <c r="Y34" s="60">
        <f>IF('finals'!K34="","",'finals'!K34)</f>
        <v/>
      </c>
      <c r="Z34" s="60">
        <f>IF('finals'!L34="","",'finals'!L34)</f>
        <v/>
      </c>
      <c r="AA34" s="60">
        <f>IF('finals'!M34="","",'finals'!M34)</f>
        <v/>
      </c>
      <c r="AB34" s="60">
        <f>IF('finals'!N34="","",'finals'!N34)</f>
        <v/>
      </c>
      <c r="AC34" s="60">
        <f>IF('finals'!O34="","",'finals'!O34)</f>
        <v/>
      </c>
      <c r="AD34" s="60">
        <f>IF('finals'!P34="","",'finals'!P34)</f>
        <v/>
      </c>
      <c r="AE34" s="40">
        <f>'midterms'!Q34</f>
        <v/>
      </c>
      <c r="AF34" s="54" t="n"/>
      <c r="AG34" s="40">
        <f>'finals'!Q34</f>
        <v/>
      </c>
      <c r="AH34" s="54" t="n"/>
      <c r="AI34" s="40">
        <f>IF(OR(AE34="",AG34=""),IF(AND(AE34="",AG34=""),"",IF(AE34="",AG34,AE34)),AE34+AG34)</f>
        <v/>
      </c>
      <c r="AJ34" s="54" t="n"/>
    </row>
    <row r="35" ht="25" customFormat="1" customHeight="1" s="5">
      <c r="A35" s="51">
        <f>'midterms'!A35</f>
        <v/>
      </c>
      <c r="B35" s="52">
        <f>'midterms'!B35</f>
        <v/>
      </c>
      <c r="C35" s="59">
        <f>IF('midterms'!C35="","",'midterms'!C35)</f>
        <v/>
      </c>
      <c r="D35" s="59">
        <f>IF('midterms'!D35="","",'midterms'!D35)</f>
        <v/>
      </c>
      <c r="E35" s="59">
        <f>IF('midterms'!E35="","",'midterms'!E35)</f>
        <v/>
      </c>
      <c r="F35" s="59">
        <f>IF('midterms'!F35="","",'midterms'!F35)</f>
        <v/>
      </c>
      <c r="G35" s="59">
        <f>IF('midterms'!G35="","",'midterms'!G35)</f>
        <v/>
      </c>
      <c r="H35" s="59">
        <f>IF('midterms'!H35="","",'midterms'!H35)</f>
        <v/>
      </c>
      <c r="I35" s="59">
        <f>IF('midterms'!I35="","",'midterms'!I35)</f>
        <v/>
      </c>
      <c r="J35" s="59">
        <f>IF('midterms'!J35="","",'midterms'!J35)</f>
        <v/>
      </c>
      <c r="K35" s="59">
        <f>IF('midterms'!K35="","",'midterms'!K35)</f>
        <v/>
      </c>
      <c r="L35" s="59">
        <f>IF('midterms'!L35="","",'midterms'!L35)</f>
        <v/>
      </c>
      <c r="M35" s="59">
        <f>IF('midterms'!M35="","",'midterms'!M35)</f>
        <v/>
      </c>
      <c r="N35" s="59">
        <f>IF('midterms'!N35="","",'midterms'!N35)</f>
        <v/>
      </c>
      <c r="O35" s="59">
        <f>IF('midterms'!O35="","",'midterms'!O35)</f>
        <v/>
      </c>
      <c r="P35" s="59">
        <f>IF('midterms'!P35="","",'midterms'!P35)</f>
        <v/>
      </c>
      <c r="Q35" s="59">
        <f>IF('finals'!C35="","",'finals'!C35)</f>
        <v/>
      </c>
      <c r="R35" s="59">
        <f>IF('finals'!D35="","",'finals'!D35)</f>
        <v/>
      </c>
      <c r="S35" s="59">
        <f>IF('finals'!E35="","",'finals'!E35)</f>
        <v/>
      </c>
      <c r="T35" s="59">
        <f>IF('finals'!F35="","",'finals'!F35)</f>
        <v/>
      </c>
      <c r="U35" s="59">
        <f>IF('finals'!G35="","",'finals'!G35)</f>
        <v/>
      </c>
      <c r="V35" s="59">
        <f>IF('finals'!H35="","",'finals'!H35)</f>
        <v/>
      </c>
      <c r="W35" s="59">
        <f>IF('finals'!I35="","",'finals'!I35)</f>
        <v/>
      </c>
      <c r="X35" s="59">
        <f>IF('finals'!J35="","",'finals'!J35)</f>
        <v/>
      </c>
      <c r="Y35" s="59">
        <f>IF('finals'!K35="","",'finals'!K35)</f>
        <v/>
      </c>
      <c r="Z35" s="59">
        <f>IF('finals'!L35="","",'finals'!L35)</f>
        <v/>
      </c>
      <c r="AA35" s="59">
        <f>IF('finals'!M35="","",'finals'!M35)</f>
        <v/>
      </c>
      <c r="AB35" s="59">
        <f>IF('finals'!N35="","",'finals'!N35)</f>
        <v/>
      </c>
      <c r="AC35" s="59">
        <f>IF('finals'!O35="","",'finals'!O35)</f>
        <v/>
      </c>
      <c r="AD35" s="59">
        <f>IF('finals'!P35="","",'finals'!P35)</f>
        <v/>
      </c>
      <c r="AE35" s="38">
        <f>'midterms'!Q35</f>
        <v/>
      </c>
      <c r="AF35" s="54" t="n"/>
      <c r="AG35" s="38">
        <f>'finals'!Q35</f>
        <v/>
      </c>
      <c r="AH35" s="54" t="n"/>
      <c r="AI35" s="38">
        <f>IF(OR(AE35="",AG35=""),IF(AND(AE35="",AG35=""),"",IF(AE35="",AG35,AE35)),AE35+AG35)</f>
        <v/>
      </c>
      <c r="AJ35" s="54" t="n"/>
    </row>
    <row r="36" ht="25" customFormat="1" customHeight="1" s="5">
      <c r="A36" s="55">
        <f>'midterms'!A36</f>
        <v/>
      </c>
      <c r="B36" s="56">
        <f>'midterms'!B36</f>
        <v/>
      </c>
      <c r="C36" s="60">
        <f>IF('midterms'!C36="","",'midterms'!C36)</f>
        <v/>
      </c>
      <c r="D36" s="60">
        <f>IF('midterms'!D36="","",'midterms'!D36)</f>
        <v/>
      </c>
      <c r="E36" s="60">
        <f>IF('midterms'!E36="","",'midterms'!E36)</f>
        <v/>
      </c>
      <c r="F36" s="60">
        <f>IF('midterms'!F36="","",'midterms'!F36)</f>
        <v/>
      </c>
      <c r="G36" s="60">
        <f>IF('midterms'!G36="","",'midterms'!G36)</f>
        <v/>
      </c>
      <c r="H36" s="60">
        <f>IF('midterms'!H36="","",'midterms'!H36)</f>
        <v/>
      </c>
      <c r="I36" s="60">
        <f>IF('midterms'!I36="","",'midterms'!I36)</f>
        <v/>
      </c>
      <c r="J36" s="60">
        <f>IF('midterms'!J36="","",'midterms'!J36)</f>
        <v/>
      </c>
      <c r="K36" s="60">
        <f>IF('midterms'!K36="","",'midterms'!K36)</f>
        <v/>
      </c>
      <c r="L36" s="60">
        <f>IF('midterms'!L36="","",'midterms'!L36)</f>
        <v/>
      </c>
      <c r="M36" s="60">
        <f>IF('midterms'!M36="","",'midterms'!M36)</f>
        <v/>
      </c>
      <c r="N36" s="60">
        <f>IF('midterms'!N36="","",'midterms'!N36)</f>
        <v/>
      </c>
      <c r="O36" s="60">
        <f>IF('midterms'!O36="","",'midterms'!O36)</f>
        <v/>
      </c>
      <c r="P36" s="60">
        <f>IF('midterms'!P36="","",'midterms'!P36)</f>
        <v/>
      </c>
      <c r="Q36" s="60">
        <f>IF('finals'!C36="","",'finals'!C36)</f>
        <v/>
      </c>
      <c r="R36" s="60">
        <f>IF('finals'!D36="","",'finals'!D36)</f>
        <v/>
      </c>
      <c r="S36" s="60">
        <f>IF('finals'!E36="","",'finals'!E36)</f>
        <v/>
      </c>
      <c r="T36" s="60">
        <f>IF('finals'!F36="","",'finals'!F36)</f>
        <v/>
      </c>
      <c r="U36" s="60">
        <f>IF('finals'!G36="","",'finals'!G36)</f>
        <v/>
      </c>
      <c r="V36" s="60">
        <f>IF('finals'!H36="","",'finals'!H36)</f>
        <v/>
      </c>
      <c r="W36" s="60">
        <f>IF('finals'!I36="","",'finals'!I36)</f>
        <v/>
      </c>
      <c r="X36" s="60">
        <f>IF('finals'!J36="","",'finals'!J36)</f>
        <v/>
      </c>
      <c r="Y36" s="60">
        <f>IF('finals'!K36="","",'finals'!K36)</f>
        <v/>
      </c>
      <c r="Z36" s="60">
        <f>IF('finals'!L36="","",'finals'!L36)</f>
        <v/>
      </c>
      <c r="AA36" s="60">
        <f>IF('finals'!M36="","",'finals'!M36)</f>
        <v/>
      </c>
      <c r="AB36" s="60">
        <f>IF('finals'!N36="","",'finals'!N36)</f>
        <v/>
      </c>
      <c r="AC36" s="60">
        <f>IF('finals'!O36="","",'finals'!O36)</f>
        <v/>
      </c>
      <c r="AD36" s="60">
        <f>IF('finals'!P36="","",'finals'!P36)</f>
        <v/>
      </c>
      <c r="AE36" s="40">
        <f>'midterms'!Q36</f>
        <v/>
      </c>
      <c r="AF36" s="54" t="n"/>
      <c r="AG36" s="40">
        <f>'finals'!Q36</f>
        <v/>
      </c>
      <c r="AH36" s="54" t="n"/>
      <c r="AI36" s="40">
        <f>IF(OR(AE36="",AG36=""),IF(AND(AE36="",AG36=""),"",IF(AE36="",AG36,AE36)),AE36+AG36)</f>
        <v/>
      </c>
      <c r="AJ36" s="54" t="n"/>
    </row>
    <row r="37" ht="25" customFormat="1" customHeight="1" s="5">
      <c r="A37" s="51">
        <f>'midterms'!A37</f>
        <v/>
      </c>
      <c r="B37" s="52">
        <f>'midterms'!B37</f>
        <v/>
      </c>
      <c r="C37" s="59">
        <f>IF('midterms'!C37="","",'midterms'!C37)</f>
        <v/>
      </c>
      <c r="D37" s="59">
        <f>IF('midterms'!D37="","",'midterms'!D37)</f>
        <v/>
      </c>
      <c r="E37" s="59">
        <f>IF('midterms'!E37="","",'midterms'!E37)</f>
        <v/>
      </c>
      <c r="F37" s="59">
        <f>IF('midterms'!F37="","",'midterms'!F37)</f>
        <v/>
      </c>
      <c r="G37" s="59">
        <f>IF('midterms'!G37="","",'midterms'!G37)</f>
        <v/>
      </c>
      <c r="H37" s="59">
        <f>IF('midterms'!H37="","",'midterms'!H37)</f>
        <v/>
      </c>
      <c r="I37" s="59">
        <f>IF('midterms'!I37="","",'midterms'!I37)</f>
        <v/>
      </c>
      <c r="J37" s="59">
        <f>IF('midterms'!J37="","",'midterms'!J37)</f>
        <v/>
      </c>
      <c r="K37" s="59">
        <f>IF('midterms'!K37="","",'midterms'!K37)</f>
        <v/>
      </c>
      <c r="L37" s="59">
        <f>IF('midterms'!L37="","",'midterms'!L37)</f>
        <v/>
      </c>
      <c r="M37" s="59">
        <f>IF('midterms'!M37="","",'midterms'!M37)</f>
        <v/>
      </c>
      <c r="N37" s="59">
        <f>IF('midterms'!N37="","",'midterms'!N37)</f>
        <v/>
      </c>
      <c r="O37" s="59">
        <f>IF('midterms'!O37="","",'midterms'!O37)</f>
        <v/>
      </c>
      <c r="P37" s="59">
        <f>IF('midterms'!P37="","",'midterms'!P37)</f>
        <v/>
      </c>
      <c r="Q37" s="59">
        <f>IF('finals'!C37="","",'finals'!C37)</f>
        <v/>
      </c>
      <c r="R37" s="59">
        <f>IF('finals'!D37="","",'finals'!D37)</f>
        <v/>
      </c>
      <c r="S37" s="59">
        <f>IF('finals'!E37="","",'finals'!E37)</f>
        <v/>
      </c>
      <c r="T37" s="59">
        <f>IF('finals'!F37="","",'finals'!F37)</f>
        <v/>
      </c>
      <c r="U37" s="59">
        <f>IF('finals'!G37="","",'finals'!G37)</f>
        <v/>
      </c>
      <c r="V37" s="59">
        <f>IF('finals'!H37="","",'finals'!H37)</f>
        <v/>
      </c>
      <c r="W37" s="59">
        <f>IF('finals'!I37="","",'finals'!I37)</f>
        <v/>
      </c>
      <c r="X37" s="59">
        <f>IF('finals'!J37="","",'finals'!J37)</f>
        <v/>
      </c>
      <c r="Y37" s="59">
        <f>IF('finals'!K37="","",'finals'!K37)</f>
        <v/>
      </c>
      <c r="Z37" s="59">
        <f>IF('finals'!L37="","",'finals'!L37)</f>
        <v/>
      </c>
      <c r="AA37" s="59">
        <f>IF('finals'!M37="","",'finals'!M37)</f>
        <v/>
      </c>
      <c r="AB37" s="59">
        <f>IF('finals'!N37="","",'finals'!N37)</f>
        <v/>
      </c>
      <c r="AC37" s="59">
        <f>IF('finals'!O37="","",'finals'!O37)</f>
        <v/>
      </c>
      <c r="AD37" s="59">
        <f>IF('finals'!P37="","",'finals'!P37)</f>
        <v/>
      </c>
      <c r="AE37" s="38">
        <f>'midterms'!Q37</f>
        <v/>
      </c>
      <c r="AF37" s="54" t="n"/>
      <c r="AG37" s="38">
        <f>'finals'!Q37</f>
        <v/>
      </c>
      <c r="AH37" s="54" t="n"/>
      <c r="AI37" s="38">
        <f>IF(OR(AE37="",AG37=""),IF(AND(AE37="",AG37=""),"",IF(AE37="",AG37,AE37)),AE37+AG37)</f>
        <v/>
      </c>
      <c r="AJ37" s="54" t="n"/>
    </row>
    <row r="38" ht="25" customFormat="1" customHeight="1" s="5">
      <c r="A38" s="55">
        <f>'midterms'!A38</f>
        <v/>
      </c>
      <c r="B38" s="56">
        <f>'midterms'!B38</f>
        <v/>
      </c>
      <c r="C38" s="60">
        <f>IF('midterms'!C38="","",'midterms'!C38)</f>
        <v/>
      </c>
      <c r="D38" s="60">
        <f>IF('midterms'!D38="","",'midterms'!D38)</f>
        <v/>
      </c>
      <c r="E38" s="60">
        <f>IF('midterms'!E38="","",'midterms'!E38)</f>
        <v/>
      </c>
      <c r="F38" s="60">
        <f>IF('midterms'!F38="","",'midterms'!F38)</f>
        <v/>
      </c>
      <c r="G38" s="60">
        <f>IF('midterms'!G38="","",'midterms'!G38)</f>
        <v/>
      </c>
      <c r="H38" s="60">
        <f>IF('midterms'!H38="","",'midterms'!H38)</f>
        <v/>
      </c>
      <c r="I38" s="60">
        <f>IF('midterms'!I38="","",'midterms'!I38)</f>
        <v/>
      </c>
      <c r="J38" s="60">
        <f>IF('midterms'!J38="","",'midterms'!J38)</f>
        <v/>
      </c>
      <c r="K38" s="60">
        <f>IF('midterms'!K38="","",'midterms'!K38)</f>
        <v/>
      </c>
      <c r="L38" s="60">
        <f>IF('midterms'!L38="","",'midterms'!L38)</f>
        <v/>
      </c>
      <c r="M38" s="60">
        <f>IF('midterms'!M38="","",'midterms'!M38)</f>
        <v/>
      </c>
      <c r="N38" s="60">
        <f>IF('midterms'!N38="","",'midterms'!N38)</f>
        <v/>
      </c>
      <c r="O38" s="60">
        <f>IF('midterms'!O38="","",'midterms'!O38)</f>
        <v/>
      </c>
      <c r="P38" s="60">
        <f>IF('midterms'!P38="","",'midterms'!P38)</f>
        <v/>
      </c>
      <c r="Q38" s="60">
        <f>IF('finals'!C38="","",'finals'!C38)</f>
        <v/>
      </c>
      <c r="R38" s="60">
        <f>IF('finals'!D38="","",'finals'!D38)</f>
        <v/>
      </c>
      <c r="S38" s="60">
        <f>IF('finals'!E38="","",'finals'!E38)</f>
        <v/>
      </c>
      <c r="T38" s="60">
        <f>IF('finals'!F38="","",'finals'!F38)</f>
        <v/>
      </c>
      <c r="U38" s="60">
        <f>IF('finals'!G38="","",'finals'!G38)</f>
        <v/>
      </c>
      <c r="V38" s="60">
        <f>IF('finals'!H38="","",'finals'!H38)</f>
        <v/>
      </c>
      <c r="W38" s="60">
        <f>IF('finals'!I38="","",'finals'!I38)</f>
        <v/>
      </c>
      <c r="X38" s="60">
        <f>IF('finals'!J38="","",'finals'!J38)</f>
        <v/>
      </c>
      <c r="Y38" s="60">
        <f>IF('finals'!K38="","",'finals'!K38)</f>
        <v/>
      </c>
      <c r="Z38" s="60">
        <f>IF('finals'!L38="","",'finals'!L38)</f>
        <v/>
      </c>
      <c r="AA38" s="60">
        <f>IF('finals'!M38="","",'finals'!M38)</f>
        <v/>
      </c>
      <c r="AB38" s="60">
        <f>IF('finals'!N38="","",'finals'!N38)</f>
        <v/>
      </c>
      <c r="AC38" s="60">
        <f>IF('finals'!O38="","",'finals'!O38)</f>
        <v/>
      </c>
      <c r="AD38" s="60">
        <f>IF('finals'!P38="","",'finals'!P38)</f>
        <v/>
      </c>
      <c r="AE38" s="40">
        <f>'midterms'!Q38</f>
        <v/>
      </c>
      <c r="AF38" s="54" t="n"/>
      <c r="AG38" s="40">
        <f>'finals'!Q38</f>
        <v/>
      </c>
      <c r="AH38" s="54" t="n"/>
      <c r="AI38" s="40">
        <f>IF(OR(AE38="",AG38=""),IF(AND(AE38="",AG38=""),"",IF(AE38="",AG38,AE38)),AE38+AG38)</f>
        <v/>
      </c>
      <c r="AJ38" s="54" t="n"/>
    </row>
    <row r="39" ht="25" customFormat="1" customHeight="1" s="5">
      <c r="A39" s="51">
        <f>'midterms'!A39</f>
        <v/>
      </c>
      <c r="B39" s="52">
        <f>'midterms'!B39</f>
        <v/>
      </c>
      <c r="C39" s="59">
        <f>IF('midterms'!C39="","",'midterms'!C39)</f>
        <v/>
      </c>
      <c r="D39" s="59">
        <f>IF('midterms'!D39="","",'midterms'!D39)</f>
        <v/>
      </c>
      <c r="E39" s="59">
        <f>IF('midterms'!E39="","",'midterms'!E39)</f>
        <v/>
      </c>
      <c r="F39" s="59">
        <f>IF('midterms'!F39="","",'midterms'!F39)</f>
        <v/>
      </c>
      <c r="G39" s="59">
        <f>IF('midterms'!G39="","",'midterms'!G39)</f>
        <v/>
      </c>
      <c r="H39" s="59">
        <f>IF('midterms'!H39="","",'midterms'!H39)</f>
        <v/>
      </c>
      <c r="I39" s="59">
        <f>IF('midterms'!I39="","",'midterms'!I39)</f>
        <v/>
      </c>
      <c r="J39" s="59">
        <f>IF('midterms'!J39="","",'midterms'!J39)</f>
        <v/>
      </c>
      <c r="K39" s="59">
        <f>IF('midterms'!K39="","",'midterms'!K39)</f>
        <v/>
      </c>
      <c r="L39" s="59">
        <f>IF('midterms'!L39="","",'midterms'!L39)</f>
        <v/>
      </c>
      <c r="M39" s="59">
        <f>IF('midterms'!M39="","",'midterms'!M39)</f>
        <v/>
      </c>
      <c r="N39" s="59">
        <f>IF('midterms'!N39="","",'midterms'!N39)</f>
        <v/>
      </c>
      <c r="O39" s="59">
        <f>IF('midterms'!O39="","",'midterms'!O39)</f>
        <v/>
      </c>
      <c r="P39" s="59">
        <f>IF('midterms'!P39="","",'midterms'!P39)</f>
        <v/>
      </c>
      <c r="Q39" s="59">
        <f>IF('finals'!C39="","",'finals'!C39)</f>
        <v/>
      </c>
      <c r="R39" s="59">
        <f>IF('finals'!D39="","",'finals'!D39)</f>
        <v/>
      </c>
      <c r="S39" s="59">
        <f>IF('finals'!E39="","",'finals'!E39)</f>
        <v/>
      </c>
      <c r="T39" s="59">
        <f>IF('finals'!F39="","",'finals'!F39)</f>
        <v/>
      </c>
      <c r="U39" s="59">
        <f>IF('finals'!G39="","",'finals'!G39)</f>
        <v/>
      </c>
      <c r="V39" s="59">
        <f>IF('finals'!H39="","",'finals'!H39)</f>
        <v/>
      </c>
      <c r="W39" s="59">
        <f>IF('finals'!I39="","",'finals'!I39)</f>
        <v/>
      </c>
      <c r="X39" s="59">
        <f>IF('finals'!J39="","",'finals'!J39)</f>
        <v/>
      </c>
      <c r="Y39" s="59">
        <f>IF('finals'!K39="","",'finals'!K39)</f>
        <v/>
      </c>
      <c r="Z39" s="59">
        <f>IF('finals'!L39="","",'finals'!L39)</f>
        <v/>
      </c>
      <c r="AA39" s="59">
        <f>IF('finals'!M39="","",'finals'!M39)</f>
        <v/>
      </c>
      <c r="AB39" s="59">
        <f>IF('finals'!N39="","",'finals'!N39)</f>
        <v/>
      </c>
      <c r="AC39" s="59">
        <f>IF('finals'!O39="","",'finals'!O39)</f>
        <v/>
      </c>
      <c r="AD39" s="59">
        <f>IF('finals'!P39="","",'finals'!P39)</f>
        <v/>
      </c>
      <c r="AE39" s="38">
        <f>'midterms'!Q39</f>
        <v/>
      </c>
      <c r="AF39" s="54" t="n"/>
      <c r="AG39" s="38">
        <f>'finals'!Q39</f>
        <v/>
      </c>
      <c r="AH39" s="54" t="n"/>
      <c r="AI39" s="38">
        <f>IF(OR(AE39="",AG39=""),IF(AND(AE39="",AG39=""),"",IF(AE39="",AG39,AE39)),AE39+AG39)</f>
        <v/>
      </c>
      <c r="AJ39" s="54" t="n"/>
    </row>
    <row r="40" ht="25" customFormat="1" customHeight="1" s="5">
      <c r="A40" s="55">
        <f>'midterms'!A40</f>
        <v/>
      </c>
      <c r="B40" s="56">
        <f>'midterms'!B40</f>
        <v/>
      </c>
      <c r="C40" s="60">
        <f>IF('midterms'!C40="","",'midterms'!C40)</f>
        <v/>
      </c>
      <c r="D40" s="60">
        <f>IF('midterms'!D40="","",'midterms'!D40)</f>
        <v/>
      </c>
      <c r="E40" s="60">
        <f>IF('midterms'!E40="","",'midterms'!E40)</f>
        <v/>
      </c>
      <c r="F40" s="60">
        <f>IF('midterms'!F40="","",'midterms'!F40)</f>
        <v/>
      </c>
      <c r="G40" s="60">
        <f>IF('midterms'!G40="","",'midterms'!G40)</f>
        <v/>
      </c>
      <c r="H40" s="60">
        <f>IF('midterms'!H40="","",'midterms'!H40)</f>
        <v/>
      </c>
      <c r="I40" s="60">
        <f>IF('midterms'!I40="","",'midterms'!I40)</f>
        <v/>
      </c>
      <c r="J40" s="60">
        <f>IF('midterms'!J40="","",'midterms'!J40)</f>
        <v/>
      </c>
      <c r="K40" s="60">
        <f>IF('midterms'!K40="","",'midterms'!K40)</f>
        <v/>
      </c>
      <c r="L40" s="60">
        <f>IF('midterms'!L40="","",'midterms'!L40)</f>
        <v/>
      </c>
      <c r="M40" s="60">
        <f>IF('midterms'!M40="","",'midterms'!M40)</f>
        <v/>
      </c>
      <c r="N40" s="60">
        <f>IF('midterms'!N40="","",'midterms'!N40)</f>
        <v/>
      </c>
      <c r="O40" s="60">
        <f>IF('midterms'!O40="","",'midterms'!O40)</f>
        <v/>
      </c>
      <c r="P40" s="60">
        <f>IF('midterms'!P40="","",'midterms'!P40)</f>
        <v/>
      </c>
      <c r="Q40" s="60">
        <f>IF('finals'!C40="","",'finals'!C40)</f>
        <v/>
      </c>
      <c r="R40" s="60">
        <f>IF('finals'!D40="","",'finals'!D40)</f>
        <v/>
      </c>
      <c r="S40" s="60">
        <f>IF('finals'!E40="","",'finals'!E40)</f>
        <v/>
      </c>
      <c r="T40" s="60">
        <f>IF('finals'!F40="","",'finals'!F40)</f>
        <v/>
      </c>
      <c r="U40" s="60">
        <f>IF('finals'!G40="","",'finals'!G40)</f>
        <v/>
      </c>
      <c r="V40" s="60">
        <f>IF('finals'!H40="","",'finals'!H40)</f>
        <v/>
      </c>
      <c r="W40" s="60">
        <f>IF('finals'!I40="","",'finals'!I40)</f>
        <v/>
      </c>
      <c r="X40" s="60">
        <f>IF('finals'!J40="","",'finals'!J40)</f>
        <v/>
      </c>
      <c r="Y40" s="60">
        <f>IF('finals'!K40="","",'finals'!K40)</f>
        <v/>
      </c>
      <c r="Z40" s="60">
        <f>IF('finals'!L40="","",'finals'!L40)</f>
        <v/>
      </c>
      <c r="AA40" s="60">
        <f>IF('finals'!M40="","",'finals'!M40)</f>
        <v/>
      </c>
      <c r="AB40" s="60">
        <f>IF('finals'!N40="","",'finals'!N40)</f>
        <v/>
      </c>
      <c r="AC40" s="60">
        <f>IF('finals'!O40="","",'finals'!O40)</f>
        <v/>
      </c>
      <c r="AD40" s="60">
        <f>IF('finals'!P40="","",'finals'!P40)</f>
        <v/>
      </c>
      <c r="AE40" s="40">
        <f>'midterms'!Q40</f>
        <v/>
      </c>
      <c r="AF40" s="54" t="n"/>
      <c r="AG40" s="40">
        <f>'finals'!Q40</f>
        <v/>
      </c>
      <c r="AH40" s="54" t="n"/>
      <c r="AI40" s="40">
        <f>IF(OR(AE40="",AG40=""),IF(AND(AE40="",AG40=""),"",IF(AE40="",AG40,AE40)),AE40+AG40)</f>
        <v/>
      </c>
      <c r="AJ40" s="54" t="n"/>
    </row>
    <row r="41" ht="25" customFormat="1" customHeight="1" s="5">
      <c r="A41" s="51">
        <f>'midterms'!A41</f>
        <v/>
      </c>
      <c r="B41" s="52">
        <f>'midterms'!B41</f>
        <v/>
      </c>
      <c r="C41" s="59">
        <f>IF('midterms'!C41="","",'midterms'!C41)</f>
        <v/>
      </c>
      <c r="D41" s="59">
        <f>IF('midterms'!D41="","",'midterms'!D41)</f>
        <v/>
      </c>
      <c r="E41" s="59">
        <f>IF('midterms'!E41="","",'midterms'!E41)</f>
        <v/>
      </c>
      <c r="F41" s="59">
        <f>IF('midterms'!F41="","",'midterms'!F41)</f>
        <v/>
      </c>
      <c r="G41" s="59">
        <f>IF('midterms'!G41="","",'midterms'!G41)</f>
        <v/>
      </c>
      <c r="H41" s="59">
        <f>IF('midterms'!H41="","",'midterms'!H41)</f>
        <v/>
      </c>
      <c r="I41" s="59">
        <f>IF('midterms'!I41="","",'midterms'!I41)</f>
        <v/>
      </c>
      <c r="J41" s="59">
        <f>IF('midterms'!J41="","",'midterms'!J41)</f>
        <v/>
      </c>
      <c r="K41" s="59">
        <f>IF('midterms'!K41="","",'midterms'!K41)</f>
        <v/>
      </c>
      <c r="L41" s="59">
        <f>IF('midterms'!L41="","",'midterms'!L41)</f>
        <v/>
      </c>
      <c r="M41" s="59">
        <f>IF('midterms'!M41="","",'midterms'!M41)</f>
        <v/>
      </c>
      <c r="N41" s="59">
        <f>IF('midterms'!N41="","",'midterms'!N41)</f>
        <v/>
      </c>
      <c r="O41" s="59">
        <f>IF('midterms'!O41="","",'midterms'!O41)</f>
        <v/>
      </c>
      <c r="P41" s="59">
        <f>IF('midterms'!P41="","",'midterms'!P41)</f>
        <v/>
      </c>
      <c r="Q41" s="59">
        <f>IF('finals'!C41="","",'finals'!C41)</f>
        <v/>
      </c>
      <c r="R41" s="59">
        <f>IF('finals'!D41="","",'finals'!D41)</f>
        <v/>
      </c>
      <c r="S41" s="59">
        <f>IF('finals'!E41="","",'finals'!E41)</f>
        <v/>
      </c>
      <c r="T41" s="59">
        <f>IF('finals'!F41="","",'finals'!F41)</f>
        <v/>
      </c>
      <c r="U41" s="59">
        <f>IF('finals'!G41="","",'finals'!G41)</f>
        <v/>
      </c>
      <c r="V41" s="59">
        <f>IF('finals'!H41="","",'finals'!H41)</f>
        <v/>
      </c>
      <c r="W41" s="59">
        <f>IF('finals'!I41="","",'finals'!I41)</f>
        <v/>
      </c>
      <c r="X41" s="59">
        <f>IF('finals'!J41="","",'finals'!J41)</f>
        <v/>
      </c>
      <c r="Y41" s="59">
        <f>IF('finals'!K41="","",'finals'!K41)</f>
        <v/>
      </c>
      <c r="Z41" s="59">
        <f>IF('finals'!L41="","",'finals'!L41)</f>
        <v/>
      </c>
      <c r="AA41" s="59">
        <f>IF('finals'!M41="","",'finals'!M41)</f>
        <v/>
      </c>
      <c r="AB41" s="59">
        <f>IF('finals'!N41="","",'finals'!N41)</f>
        <v/>
      </c>
      <c r="AC41" s="59">
        <f>IF('finals'!O41="","",'finals'!O41)</f>
        <v/>
      </c>
      <c r="AD41" s="59">
        <f>IF('finals'!P41="","",'finals'!P41)</f>
        <v/>
      </c>
      <c r="AE41" s="38">
        <f>'midterms'!Q41</f>
        <v/>
      </c>
      <c r="AF41" s="54" t="n"/>
      <c r="AG41" s="38">
        <f>'finals'!Q41</f>
        <v/>
      </c>
      <c r="AH41" s="54" t="n"/>
      <c r="AI41" s="38">
        <f>IF(OR(AE41="",AG41=""),IF(AND(AE41="",AG41=""),"",IF(AE41="",AG41,AE41)),AE41+AG41)</f>
        <v/>
      </c>
      <c r="AJ41" s="54" t="n"/>
    </row>
    <row r="42" ht="25" customFormat="1" customHeight="1" s="5">
      <c r="A42" s="55">
        <f>'midterms'!A42</f>
        <v/>
      </c>
      <c r="B42" s="56">
        <f>'midterms'!B42</f>
        <v/>
      </c>
      <c r="C42" s="60">
        <f>IF('midterms'!C42="","",'midterms'!C42)</f>
        <v/>
      </c>
      <c r="D42" s="60">
        <f>IF('midterms'!D42="","",'midterms'!D42)</f>
        <v/>
      </c>
      <c r="E42" s="60">
        <f>IF('midterms'!E42="","",'midterms'!E42)</f>
        <v/>
      </c>
      <c r="F42" s="60">
        <f>IF('midterms'!F42="","",'midterms'!F42)</f>
        <v/>
      </c>
      <c r="G42" s="60">
        <f>IF('midterms'!G42="","",'midterms'!G42)</f>
        <v/>
      </c>
      <c r="H42" s="60">
        <f>IF('midterms'!H42="","",'midterms'!H42)</f>
        <v/>
      </c>
      <c r="I42" s="60">
        <f>IF('midterms'!I42="","",'midterms'!I42)</f>
        <v/>
      </c>
      <c r="J42" s="60">
        <f>IF('midterms'!J42="","",'midterms'!J42)</f>
        <v/>
      </c>
      <c r="K42" s="60">
        <f>IF('midterms'!K42="","",'midterms'!K42)</f>
        <v/>
      </c>
      <c r="L42" s="60">
        <f>IF('midterms'!L42="","",'midterms'!L42)</f>
        <v/>
      </c>
      <c r="M42" s="60">
        <f>IF('midterms'!M42="","",'midterms'!M42)</f>
        <v/>
      </c>
      <c r="N42" s="60">
        <f>IF('midterms'!N42="","",'midterms'!N42)</f>
        <v/>
      </c>
      <c r="O42" s="60">
        <f>IF('midterms'!O42="","",'midterms'!O42)</f>
        <v/>
      </c>
      <c r="P42" s="60">
        <f>IF('midterms'!P42="","",'midterms'!P42)</f>
        <v/>
      </c>
      <c r="Q42" s="60">
        <f>IF('finals'!C42="","",'finals'!C42)</f>
        <v/>
      </c>
      <c r="R42" s="60">
        <f>IF('finals'!D42="","",'finals'!D42)</f>
        <v/>
      </c>
      <c r="S42" s="60">
        <f>IF('finals'!E42="","",'finals'!E42)</f>
        <v/>
      </c>
      <c r="T42" s="60">
        <f>IF('finals'!F42="","",'finals'!F42)</f>
        <v/>
      </c>
      <c r="U42" s="60">
        <f>IF('finals'!G42="","",'finals'!G42)</f>
        <v/>
      </c>
      <c r="V42" s="60">
        <f>IF('finals'!H42="","",'finals'!H42)</f>
        <v/>
      </c>
      <c r="W42" s="60">
        <f>IF('finals'!I42="","",'finals'!I42)</f>
        <v/>
      </c>
      <c r="X42" s="60">
        <f>IF('finals'!J42="","",'finals'!J42)</f>
        <v/>
      </c>
      <c r="Y42" s="60">
        <f>IF('finals'!K42="","",'finals'!K42)</f>
        <v/>
      </c>
      <c r="Z42" s="60">
        <f>IF('finals'!L42="","",'finals'!L42)</f>
        <v/>
      </c>
      <c r="AA42" s="60">
        <f>IF('finals'!M42="","",'finals'!M42)</f>
        <v/>
      </c>
      <c r="AB42" s="60">
        <f>IF('finals'!N42="","",'finals'!N42)</f>
        <v/>
      </c>
      <c r="AC42" s="60">
        <f>IF('finals'!O42="","",'finals'!O42)</f>
        <v/>
      </c>
      <c r="AD42" s="60">
        <f>IF('finals'!P42="","",'finals'!P42)</f>
        <v/>
      </c>
      <c r="AE42" s="40">
        <f>'midterms'!Q42</f>
        <v/>
      </c>
      <c r="AF42" s="54" t="n"/>
      <c r="AG42" s="40">
        <f>'finals'!Q42</f>
        <v/>
      </c>
      <c r="AH42" s="54" t="n"/>
      <c r="AI42" s="40">
        <f>IF(OR(AE42="",AG42=""),IF(AND(AE42="",AG42=""),"",IF(AE42="",AG42,AE42)),AE42+AG42)</f>
        <v/>
      </c>
      <c r="AJ42" s="54" t="n"/>
    </row>
    <row r="43" ht="25" customFormat="1" customHeight="1" s="5">
      <c r="A43" s="51">
        <f>'midterms'!A43</f>
        <v/>
      </c>
      <c r="B43" s="52">
        <f>'midterms'!B43</f>
        <v/>
      </c>
      <c r="C43" s="59">
        <f>IF('midterms'!C43="","",'midterms'!C43)</f>
        <v/>
      </c>
      <c r="D43" s="59">
        <f>IF('midterms'!D43="","",'midterms'!D43)</f>
        <v/>
      </c>
      <c r="E43" s="59">
        <f>IF('midterms'!E43="","",'midterms'!E43)</f>
        <v/>
      </c>
      <c r="F43" s="59">
        <f>IF('midterms'!F43="","",'midterms'!F43)</f>
        <v/>
      </c>
      <c r="G43" s="59">
        <f>IF('midterms'!G43="","",'midterms'!G43)</f>
        <v/>
      </c>
      <c r="H43" s="59">
        <f>IF('midterms'!H43="","",'midterms'!H43)</f>
        <v/>
      </c>
      <c r="I43" s="59">
        <f>IF('midterms'!I43="","",'midterms'!I43)</f>
        <v/>
      </c>
      <c r="J43" s="59">
        <f>IF('midterms'!J43="","",'midterms'!J43)</f>
        <v/>
      </c>
      <c r="K43" s="59">
        <f>IF('midterms'!K43="","",'midterms'!K43)</f>
        <v/>
      </c>
      <c r="L43" s="59">
        <f>IF('midterms'!L43="","",'midterms'!L43)</f>
        <v/>
      </c>
      <c r="M43" s="59">
        <f>IF('midterms'!M43="","",'midterms'!M43)</f>
        <v/>
      </c>
      <c r="N43" s="59">
        <f>IF('midterms'!N43="","",'midterms'!N43)</f>
        <v/>
      </c>
      <c r="O43" s="59">
        <f>IF('midterms'!O43="","",'midterms'!O43)</f>
        <v/>
      </c>
      <c r="P43" s="59">
        <f>IF('midterms'!P43="","",'midterms'!P43)</f>
        <v/>
      </c>
      <c r="Q43" s="59">
        <f>IF('finals'!C43="","",'finals'!C43)</f>
        <v/>
      </c>
      <c r="R43" s="59">
        <f>IF('finals'!D43="","",'finals'!D43)</f>
        <v/>
      </c>
      <c r="S43" s="59">
        <f>IF('finals'!E43="","",'finals'!E43)</f>
        <v/>
      </c>
      <c r="T43" s="59">
        <f>IF('finals'!F43="","",'finals'!F43)</f>
        <v/>
      </c>
      <c r="U43" s="59">
        <f>IF('finals'!G43="","",'finals'!G43)</f>
        <v/>
      </c>
      <c r="V43" s="59">
        <f>IF('finals'!H43="","",'finals'!H43)</f>
        <v/>
      </c>
      <c r="W43" s="59">
        <f>IF('finals'!I43="","",'finals'!I43)</f>
        <v/>
      </c>
      <c r="X43" s="59">
        <f>IF('finals'!J43="","",'finals'!J43)</f>
        <v/>
      </c>
      <c r="Y43" s="59">
        <f>IF('finals'!K43="","",'finals'!K43)</f>
        <v/>
      </c>
      <c r="Z43" s="59">
        <f>IF('finals'!L43="","",'finals'!L43)</f>
        <v/>
      </c>
      <c r="AA43" s="59">
        <f>IF('finals'!M43="","",'finals'!M43)</f>
        <v/>
      </c>
      <c r="AB43" s="59">
        <f>IF('finals'!N43="","",'finals'!N43)</f>
        <v/>
      </c>
      <c r="AC43" s="59">
        <f>IF('finals'!O43="","",'finals'!O43)</f>
        <v/>
      </c>
      <c r="AD43" s="59">
        <f>IF('finals'!P43="","",'finals'!P43)</f>
        <v/>
      </c>
      <c r="AE43" s="38">
        <f>'midterms'!Q43</f>
        <v/>
      </c>
      <c r="AF43" s="54" t="n"/>
      <c r="AG43" s="38">
        <f>'finals'!Q43</f>
        <v/>
      </c>
      <c r="AH43" s="54" t="n"/>
      <c r="AI43" s="38">
        <f>IF(OR(AE43="",AG43=""),IF(AND(AE43="",AG43=""),"",IF(AE43="",AG43,AE43)),AE43+AG43)</f>
        <v/>
      </c>
      <c r="AJ43" s="54" t="n"/>
    </row>
    <row r="44" ht="25" customFormat="1" customHeight="1" s="5" thickBot="1">
      <c r="A44" s="55">
        <f>'midterms'!A44</f>
        <v/>
      </c>
      <c r="B44" s="56">
        <f>'midterms'!B44</f>
        <v/>
      </c>
      <c r="C44" s="60">
        <f>IF('midterms'!C44="","",'midterms'!C44)</f>
        <v/>
      </c>
      <c r="D44" s="60">
        <f>IF('midterms'!D44="","",'midterms'!D44)</f>
        <v/>
      </c>
      <c r="E44" s="60">
        <f>IF('midterms'!E44="","",'midterms'!E44)</f>
        <v/>
      </c>
      <c r="F44" s="60">
        <f>IF('midterms'!F44="","",'midterms'!F44)</f>
        <v/>
      </c>
      <c r="G44" s="60">
        <f>IF('midterms'!G44="","",'midterms'!G44)</f>
        <v/>
      </c>
      <c r="H44" s="60">
        <f>IF('midterms'!H44="","",'midterms'!H44)</f>
        <v/>
      </c>
      <c r="I44" s="60">
        <f>IF('midterms'!I44="","",'midterms'!I44)</f>
        <v/>
      </c>
      <c r="J44" s="60">
        <f>IF('midterms'!J44="","",'midterms'!J44)</f>
        <v/>
      </c>
      <c r="K44" s="60">
        <f>IF('midterms'!K44="","",'midterms'!K44)</f>
        <v/>
      </c>
      <c r="L44" s="60">
        <f>IF('midterms'!L44="","",'midterms'!L44)</f>
        <v/>
      </c>
      <c r="M44" s="60">
        <f>IF('midterms'!M44="","",'midterms'!M44)</f>
        <v/>
      </c>
      <c r="N44" s="60">
        <f>IF('midterms'!N44="","",'midterms'!N44)</f>
        <v/>
      </c>
      <c r="O44" s="60">
        <f>IF('midterms'!O44="","",'midterms'!O44)</f>
        <v/>
      </c>
      <c r="P44" s="60">
        <f>IF('midterms'!P44="","",'midterms'!P44)</f>
        <v/>
      </c>
      <c r="Q44" s="60">
        <f>IF('finals'!C44="","",'finals'!C44)</f>
        <v/>
      </c>
      <c r="R44" s="60">
        <f>IF('finals'!D44="","",'finals'!D44)</f>
        <v/>
      </c>
      <c r="S44" s="60">
        <f>IF('finals'!E44="","",'finals'!E44)</f>
        <v/>
      </c>
      <c r="T44" s="60">
        <f>IF('finals'!F44="","",'finals'!F44)</f>
        <v/>
      </c>
      <c r="U44" s="60">
        <f>IF('finals'!G44="","",'finals'!G44)</f>
        <v/>
      </c>
      <c r="V44" s="60">
        <f>IF('finals'!H44="","",'finals'!H44)</f>
        <v/>
      </c>
      <c r="W44" s="60">
        <f>IF('finals'!I44="","",'finals'!I44)</f>
        <v/>
      </c>
      <c r="X44" s="60">
        <f>IF('finals'!J44="","",'finals'!J44)</f>
        <v/>
      </c>
      <c r="Y44" s="60">
        <f>IF('finals'!K44="","",'finals'!K44)</f>
        <v/>
      </c>
      <c r="Z44" s="60">
        <f>IF('finals'!L44="","",'finals'!L44)</f>
        <v/>
      </c>
      <c r="AA44" s="60">
        <f>IF('finals'!M44="","",'finals'!M44)</f>
        <v/>
      </c>
      <c r="AB44" s="60">
        <f>IF('finals'!N44="","",'finals'!N44)</f>
        <v/>
      </c>
      <c r="AC44" s="60">
        <f>IF('finals'!O44="","",'finals'!O44)</f>
        <v/>
      </c>
      <c r="AD44" s="60">
        <f>IF('finals'!P44="","",'finals'!P44)</f>
        <v/>
      </c>
      <c r="AE44" s="40">
        <f>'midterms'!Q44</f>
        <v/>
      </c>
      <c r="AF44" s="54" t="n"/>
      <c r="AG44" s="40">
        <f>'finals'!Q44</f>
        <v/>
      </c>
      <c r="AH44" s="54" t="n"/>
      <c r="AI44" s="40">
        <f>IF(OR(AE44="",AG44=""),IF(AND(AE44="",AG44=""),"",IF(AE44="",AG44,AE44)),AE44+AG44)</f>
        <v/>
      </c>
      <c r="AJ44" s="54" t="n"/>
    </row>
  </sheetData>
  <sheetProtection selectLockedCells="1" selectUnlockedCells="1" sheet="1" objects="0" insertRows="0" insertHyperlinks="1" autoFilter="1" scenarios="0" formatColumns="1" deleteColumns="0" insertColumns="0" pivotTables="1" deleteRows="0" formatCells="0" formatRows="1" sort="1"/>
  <mergeCells count="145">
    <mergeCell ref="AG4:AH4"/>
    <mergeCell ref="AI13:AJ13"/>
    <mergeCell ref="AE32:AF32"/>
    <mergeCell ref="AE41:AF41"/>
    <mergeCell ref="AG41:AH41"/>
    <mergeCell ref="AE43:AF43"/>
    <mergeCell ref="C1:D1"/>
    <mergeCell ref="E1:F1"/>
    <mergeCell ref="W1:X1"/>
    <mergeCell ref="Y1:Z1"/>
    <mergeCell ref="O1:P1"/>
    <mergeCell ref="AE33:AF33"/>
    <mergeCell ref="AG27:AH27"/>
    <mergeCell ref="AI27:AJ27"/>
    <mergeCell ref="AI41:AJ41"/>
    <mergeCell ref="AE8:AF8"/>
    <mergeCell ref="AI35:AJ35"/>
    <mergeCell ref="AE17:AF17"/>
    <mergeCell ref="AG17:AH17"/>
    <mergeCell ref="AI25:AJ25"/>
    <mergeCell ref="AE10:AF10"/>
    <mergeCell ref="AE19:AF19"/>
    <mergeCell ref="AG19:AH19"/>
    <mergeCell ref="AE34:AF34"/>
    <mergeCell ref="AE9:AF9"/>
    <mergeCell ref="AG3:AH3"/>
    <mergeCell ref="AI3:AJ3"/>
    <mergeCell ref="AE36:AF36"/>
    <mergeCell ref="AE11:AF11"/>
    <mergeCell ref="AE5:AF5"/>
    <mergeCell ref="AG5:AH5"/>
    <mergeCell ref="AI5:AJ5"/>
    <mergeCell ref="AI39:AJ39"/>
    <mergeCell ref="AG20:AH20"/>
    <mergeCell ref="AG29:AH29"/>
    <mergeCell ref="AI29:AJ29"/>
    <mergeCell ref="AG38:AH38"/>
    <mergeCell ref="AI38:AJ38"/>
    <mergeCell ref="AE22:AF22"/>
    <mergeCell ref="AG44:AH44"/>
    <mergeCell ref="AG22:AH22"/>
    <mergeCell ref="M1:N1"/>
    <mergeCell ref="AE31:AF31"/>
    <mergeCell ref="AG31:AH31"/>
    <mergeCell ref="AG40:AH40"/>
    <mergeCell ref="AE12:AF12"/>
    <mergeCell ref="AI40:AJ40"/>
    <mergeCell ref="AE21:AF21"/>
    <mergeCell ref="AG21:AH21"/>
    <mergeCell ref="AI15:AJ15"/>
    <mergeCell ref="K1:L1"/>
    <mergeCell ref="AI24:AJ24"/>
    <mergeCell ref="AE14:AF14"/>
    <mergeCell ref="AE23:AF23"/>
    <mergeCell ref="AG32:AH32"/>
    <mergeCell ref="AI26:AJ26"/>
    <mergeCell ref="Q1:R1"/>
    <mergeCell ref="AG7:AH7"/>
    <mergeCell ref="AI7:AJ7"/>
    <mergeCell ref="AG16:AH16"/>
    <mergeCell ref="AG1:AH2"/>
    <mergeCell ref="AI16:AJ16"/>
    <mergeCell ref="AC1:AD1"/>
    <mergeCell ref="AI1:AJ2"/>
    <mergeCell ref="AG18:AH18"/>
    <mergeCell ref="AI43:AJ43"/>
    <mergeCell ref="AI18:AJ18"/>
    <mergeCell ref="AG33:AH33"/>
    <mergeCell ref="S1:T1"/>
    <mergeCell ref="AI33:AJ33"/>
    <mergeCell ref="U1:V1"/>
    <mergeCell ref="AG42:AH42"/>
    <mergeCell ref="AI42:AJ42"/>
    <mergeCell ref="AG43:AH43"/>
    <mergeCell ref="AE27:AF27"/>
    <mergeCell ref="AG35:AH35"/>
    <mergeCell ref="AI44:AJ44"/>
    <mergeCell ref="AE20:AF20"/>
    <mergeCell ref="AE25:AF25"/>
    <mergeCell ref="AG34:AH34"/>
    <mergeCell ref="AG25:AH25"/>
    <mergeCell ref="AI34:AJ34"/>
    <mergeCell ref="AI28:AJ28"/>
    <mergeCell ref="AE35:AF35"/>
    <mergeCell ref="AE3:AF3"/>
    <mergeCell ref="AI30:AJ30"/>
    <mergeCell ref="AG6:AH6"/>
    <mergeCell ref="AG11:AH11"/>
    <mergeCell ref="AI6:AJ6"/>
    <mergeCell ref="AI11:AJ11"/>
    <mergeCell ref="AE39:AF39"/>
    <mergeCell ref="AI4:AJ4"/>
    <mergeCell ref="AE29:AF29"/>
    <mergeCell ref="AE38:AF38"/>
    <mergeCell ref="AI32:AJ32"/>
    <mergeCell ref="AE13:AF13"/>
    <mergeCell ref="AG13:AH13"/>
    <mergeCell ref="AE40:AF40"/>
    <mergeCell ref="AE37:AF37"/>
    <mergeCell ref="AE15:AF15"/>
    <mergeCell ref="AG15:AH15"/>
    <mergeCell ref="G1:H1"/>
    <mergeCell ref="AE24:AF24"/>
    <mergeCell ref="AG24:AH24"/>
    <mergeCell ref="AG8:AH8"/>
    <mergeCell ref="AI8:AJ8"/>
    <mergeCell ref="AE26:AF26"/>
    <mergeCell ref="AI17:AJ17"/>
    <mergeCell ref="AG26:AH26"/>
    <mergeCell ref="AE7:AF7"/>
    <mergeCell ref="AE16:AF16"/>
    <mergeCell ref="AG10:AH10"/>
    <mergeCell ref="AE1:AF2"/>
    <mergeCell ref="AA1:AB1"/>
    <mergeCell ref="AI10:AJ10"/>
    <mergeCell ref="AI19:AJ19"/>
    <mergeCell ref="AG9:AH9"/>
    <mergeCell ref="AE18:AF18"/>
    <mergeCell ref="AI9:AJ9"/>
    <mergeCell ref="AE42:AF42"/>
    <mergeCell ref="AG36:AH36"/>
    <mergeCell ref="B1:B2"/>
    <mergeCell ref="AI36:AJ36"/>
    <mergeCell ref="AI20:AJ20"/>
    <mergeCell ref="AE44:AF44"/>
    <mergeCell ref="AE28:AF28"/>
    <mergeCell ref="AG28:AH28"/>
    <mergeCell ref="AI22:AJ22"/>
    <mergeCell ref="AG37:AH37"/>
    <mergeCell ref="AI31:AJ31"/>
    <mergeCell ref="AI37:AJ37"/>
    <mergeCell ref="I1:J1"/>
    <mergeCell ref="AG12:AH12"/>
    <mergeCell ref="AI12:AJ12"/>
    <mergeCell ref="AE30:AF30"/>
    <mergeCell ref="AI21:AJ21"/>
    <mergeCell ref="AG30:AH30"/>
    <mergeCell ref="AG39:AH39"/>
    <mergeCell ref="AE6:AF6"/>
    <mergeCell ref="AG14:AH14"/>
    <mergeCell ref="AI14:AJ14"/>
    <mergeCell ref="AG23:AH23"/>
    <mergeCell ref="AI23:AJ23"/>
    <mergeCell ref="AE4:AF4"/>
    <mergeCell ref="A1:A2"/>
  </mergeCells>
  <printOptions horizontalCentered="1"/>
  <pageMargins left="0.3" right="0.3" top="0.3" bottom="0.3" header="0.3" footer="0.3"/>
  <pageSetup orientation="landscape" scale="26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 ht="24" customHeight="1">
      <c r="A1" s="89" t="inlineStr">
        <is>
          <t>Attendance Summary</t>
        </is>
      </c>
    </row>
    <row r="2" ht="48" customHeight="1">
      <c r="A2" s="90" t="inlineStr">
        <is>
          <t>Rules: blanks ignored (not absent). Attended = codes 1-4. Absent = code 0 only. Marked = attended + absent (only days entered). Presence % = attended / marked. Quality % = average weight (1=1, 2=0.75, 3=0.69, 4=0.63, 0=0). Source: all tab (live).</t>
        </is>
      </c>
    </row>
    <row r="4">
      <c r="A4" s="91" t="inlineStr">
        <is>
          <t>CLASS SNAPSHOT</t>
        </is>
      </c>
    </row>
    <row r="5">
      <c r="A5" s="92" t="inlineStr">
        <is>
          <t>Students</t>
        </is>
      </c>
      <c r="B5" s="93" t="inlineStr">
        <is>
          <t>42</t>
        </is>
      </c>
      <c r="C5" s="94" t="n"/>
      <c r="D5" s="94" t="n"/>
      <c r="E5" s="94" t="n"/>
      <c r="F5" s="54" t="n"/>
    </row>
    <row r="6">
      <c r="A6" s="92" t="inlineStr">
        <is>
          <t>Class presence avg</t>
        </is>
      </c>
      <c r="B6" s="95">
        <f>IFERROR(AVERAGEIF(E51:E92,"&gt;0",F51:F92),"-")</f>
        <v/>
      </c>
      <c r="C6" s="94" t="n"/>
      <c r="D6" s="94" t="n"/>
      <c r="E6" s="94" t="n"/>
      <c r="F6" s="54" t="n"/>
    </row>
    <row r="7">
      <c r="A7" s="92" t="inlineStr">
        <is>
          <t>Class quality avg</t>
        </is>
      </c>
      <c r="B7" s="95">
        <f>IFERROR(AVERAGEIF(E51:E92,"&gt;0",G51:G92),"-")</f>
        <v/>
      </c>
      <c r="C7" s="94" t="n"/>
      <c r="D7" s="94" t="n"/>
      <c r="E7" s="94" t="n"/>
      <c r="F7" s="54" t="n"/>
    </row>
    <row r="8">
      <c r="A8" s="92" t="inlineStr">
        <is>
          <t>Most attended</t>
        </is>
      </c>
      <c r="B8" s="93">
        <f>IF(COUNTIF($E$51:$E$92,"&gt;0")=0,"-",IF(MAX($F$51:$F$92)=MIN($F$51:$F$92),"Tied (all equal Presence %)",IFERROR(INDEX($B$51:$B$92,MATCH(MAX($F$51:$F$92),$F$51:$F$92,0))&amp;IF(COUNTIF($F$51:$F$92,MAX($F$51:$F$92))&gt;1," (+ties - see Flag)",""),"-")))</f>
        <v/>
      </c>
      <c r="C8" s="94" t="n"/>
      <c r="D8" s="94" t="n"/>
      <c r="E8" s="94" t="n"/>
      <c r="F8" s="54" t="n"/>
    </row>
    <row r="9">
      <c r="A9" s="92" t="inlineStr">
        <is>
          <t>Most absent</t>
        </is>
      </c>
      <c r="B9" s="93">
        <f>IF(COUNTIF($E$51:$E$92,"&gt;0")=0,"-",IF(MAX($F$51:$F$92)=MIN($F$51:$F$92),"Tied (all equal Presence %)",IFERROR(INDEX($B$51:$B$92,MATCH(MIN($F$51:$F$92),$F$51:$F$92,0))&amp;IF(COUNTIF($F$51:$F$92,MIN($F$51:$F$92))&gt;1," (+ties - see Flag)",""),"-")))</f>
        <v/>
      </c>
      <c r="C9" s="94" t="n"/>
      <c r="D9" s="94" t="n"/>
      <c r="E9" s="94" t="n"/>
      <c r="F9" s="54" t="n"/>
    </row>
    <row r="10">
      <c r="A10" s="92" t="inlineStr">
        <is>
          <t>Note</t>
        </is>
      </c>
      <c r="B10" s="96" t="inlineStr">
        <is>
          <t>Presence % ignores blanks. Absent = marked 0 only. Flag uses Presence %. Ties: each tied student is flagged; snapshot shows one name + "(+ties)".</t>
        </is>
      </c>
      <c r="C10" s="94" t="n"/>
      <c r="D10" s="94" t="n"/>
      <c r="E10" s="94" t="n"/>
      <c r="F10" s="54" t="n"/>
    </row>
    <row r="18">
      <c r="A18" s="97" t="inlineStr">
        <is>
          <t>BY DAY</t>
        </is>
      </c>
    </row>
    <row r="19">
      <c r="A19" s="98" t="inlineStr">
        <is>
          <t>#</t>
        </is>
      </c>
      <c r="B19" s="98" t="inlineStr">
        <is>
          <t>Date</t>
        </is>
      </c>
      <c r="C19" s="98" t="inlineStr">
        <is>
          <t>Week</t>
        </is>
      </c>
      <c r="D19" s="98" t="inlineStr">
        <is>
          <t>Attended</t>
        </is>
      </c>
      <c r="E19" s="98" t="inlineStr">
        <is>
          <t>Absent</t>
        </is>
      </c>
      <c r="F19" s="98" t="inlineStr">
        <is>
          <t>Marked</t>
        </is>
      </c>
      <c r="G19" s="98" t="inlineStr">
        <is>
          <t>Day rate</t>
        </is>
      </c>
    </row>
    <row r="20">
      <c r="A20" s="99" t="n">
        <v>1</v>
      </c>
      <c r="B20" s="93">
        <f>'all'!C2</f>
        <v/>
      </c>
      <c r="C20" s="99">
        <f>'all'!C1</f>
        <v/>
      </c>
      <c r="D20" s="99">
        <f>SUMPRODUCT(('all'!C$3:C$44&gt;=1)*('all'!C$3:C$44&lt;=4)*1)</f>
        <v/>
      </c>
      <c r="E20" s="99">
        <f>SUMPRODUCT(--('all'!C$3:C$44=0))</f>
        <v/>
      </c>
      <c r="F20" s="99">
        <f>D20+E20</f>
        <v/>
      </c>
      <c r="G20" s="100">
        <f>IF(F20=0,"-",D20/F20)</f>
        <v/>
      </c>
    </row>
    <row r="21">
      <c r="A21" s="101" t="n">
        <v>2</v>
      </c>
      <c r="B21" s="102">
        <f>'all'!D2</f>
        <v/>
      </c>
      <c r="C21" s="101">
        <f>'all'!C1</f>
        <v/>
      </c>
      <c r="D21" s="101">
        <f>SUMPRODUCT(('all'!D$3:D$44&gt;=1)*('all'!D$3:D$44&lt;=4)*1)</f>
        <v/>
      </c>
      <c r="E21" s="101">
        <f>SUMPRODUCT(--('all'!D$3:D$44=0))</f>
        <v/>
      </c>
      <c r="F21" s="101">
        <f>D21+E21</f>
        <v/>
      </c>
      <c r="G21" s="103">
        <f>IF(F21=0,"-",D21/F21)</f>
        <v/>
      </c>
    </row>
    <row r="22">
      <c r="A22" s="99" t="n">
        <v>3</v>
      </c>
      <c r="B22" s="93">
        <f>'all'!E2</f>
        <v/>
      </c>
      <c r="C22" s="99">
        <f>'all'!E1</f>
        <v/>
      </c>
      <c r="D22" s="99">
        <f>SUMPRODUCT(('all'!E$3:E$44&gt;=1)*('all'!E$3:E$44&lt;=4)*1)</f>
        <v/>
      </c>
      <c r="E22" s="99">
        <f>SUMPRODUCT(--('all'!E$3:E$44=0))</f>
        <v/>
      </c>
      <c r="F22" s="99">
        <f>D22+E22</f>
        <v/>
      </c>
      <c r="G22" s="100">
        <f>IF(F22=0,"-",D22/F22)</f>
        <v/>
      </c>
    </row>
    <row r="23">
      <c r="A23" s="101" t="n">
        <v>4</v>
      </c>
      <c r="B23" s="102">
        <f>'all'!F2</f>
        <v/>
      </c>
      <c r="C23" s="101">
        <f>'all'!E1</f>
        <v/>
      </c>
      <c r="D23" s="101">
        <f>SUMPRODUCT(('all'!F$3:F$44&gt;=1)*('all'!F$3:F$44&lt;=4)*1)</f>
        <v/>
      </c>
      <c r="E23" s="101">
        <f>SUMPRODUCT(--('all'!F$3:F$44=0))</f>
        <v/>
      </c>
      <c r="F23" s="101">
        <f>D23+E23</f>
        <v/>
      </c>
      <c r="G23" s="103">
        <f>IF(F23=0,"-",D23/F23)</f>
        <v/>
      </c>
    </row>
    <row r="24">
      <c r="A24" s="99" t="n">
        <v>5</v>
      </c>
      <c r="B24" s="93">
        <f>'all'!G2</f>
        <v/>
      </c>
      <c r="C24" s="99">
        <f>'all'!G1</f>
        <v/>
      </c>
      <c r="D24" s="99">
        <f>SUMPRODUCT(('all'!G$3:G$44&gt;=1)*('all'!G$3:G$44&lt;=4)*1)</f>
        <v/>
      </c>
      <c r="E24" s="99">
        <f>SUMPRODUCT(--('all'!G$3:G$44=0))</f>
        <v/>
      </c>
      <c r="F24" s="99">
        <f>D24+E24</f>
        <v/>
      </c>
      <c r="G24" s="100">
        <f>IF(F24=0,"-",D24/F24)</f>
        <v/>
      </c>
    </row>
    <row r="25">
      <c r="A25" s="101" t="n">
        <v>6</v>
      </c>
      <c r="B25" s="102">
        <f>'all'!H2</f>
        <v/>
      </c>
      <c r="C25" s="101">
        <f>'all'!G1</f>
        <v/>
      </c>
      <c r="D25" s="101">
        <f>SUMPRODUCT(('all'!H$3:H$44&gt;=1)*('all'!H$3:H$44&lt;=4)*1)</f>
        <v/>
      </c>
      <c r="E25" s="101">
        <f>SUMPRODUCT(--('all'!H$3:H$44=0))</f>
        <v/>
      </c>
      <c r="F25" s="101">
        <f>D25+E25</f>
        <v/>
      </c>
      <c r="G25" s="103">
        <f>IF(F25=0,"-",D25/F25)</f>
        <v/>
      </c>
    </row>
    <row r="26">
      <c r="A26" s="99" t="n">
        <v>7</v>
      </c>
      <c r="B26" s="93">
        <f>'all'!I2</f>
        <v/>
      </c>
      <c r="C26" s="99">
        <f>'all'!I1</f>
        <v/>
      </c>
      <c r="D26" s="99">
        <f>SUMPRODUCT(('all'!I$3:I$44&gt;=1)*('all'!I$3:I$44&lt;=4)*1)</f>
        <v/>
      </c>
      <c r="E26" s="99">
        <f>SUMPRODUCT(--('all'!I$3:I$44=0))</f>
        <v/>
      </c>
      <c r="F26" s="99">
        <f>D26+E26</f>
        <v/>
      </c>
      <c r="G26" s="100">
        <f>IF(F26=0,"-",D26/F26)</f>
        <v/>
      </c>
    </row>
    <row r="27">
      <c r="A27" s="101" t="n">
        <v>8</v>
      </c>
      <c r="B27" s="102">
        <f>'all'!J2</f>
        <v/>
      </c>
      <c r="C27" s="101">
        <f>'all'!I1</f>
        <v/>
      </c>
      <c r="D27" s="101">
        <f>SUMPRODUCT(('all'!J$3:J$44&gt;=1)*('all'!J$3:J$44&lt;=4)*1)</f>
        <v/>
      </c>
      <c r="E27" s="101">
        <f>SUMPRODUCT(--('all'!J$3:J$44=0))</f>
        <v/>
      </c>
      <c r="F27" s="101">
        <f>D27+E27</f>
        <v/>
      </c>
      <c r="G27" s="103">
        <f>IF(F27=0,"-",D27/F27)</f>
        <v/>
      </c>
    </row>
    <row r="28">
      <c r="A28" s="99" t="n">
        <v>9</v>
      </c>
      <c r="B28" s="93">
        <f>'all'!K2</f>
        <v/>
      </c>
      <c r="C28" s="99">
        <f>'all'!K1</f>
        <v/>
      </c>
      <c r="D28" s="99">
        <f>SUMPRODUCT(('all'!K$3:K$44&gt;=1)*('all'!K$3:K$44&lt;=4)*1)</f>
        <v/>
      </c>
      <c r="E28" s="99">
        <f>SUMPRODUCT(--('all'!K$3:K$44=0))</f>
        <v/>
      </c>
      <c r="F28" s="99">
        <f>D28+E28</f>
        <v/>
      </c>
      <c r="G28" s="100">
        <f>IF(F28=0,"-",D28/F28)</f>
        <v/>
      </c>
    </row>
    <row r="29">
      <c r="A29" s="101" t="n">
        <v>10</v>
      </c>
      <c r="B29" s="102">
        <f>'all'!L2</f>
        <v/>
      </c>
      <c r="C29" s="101">
        <f>'all'!K1</f>
        <v/>
      </c>
      <c r="D29" s="101">
        <f>SUMPRODUCT(('all'!L$3:L$44&gt;=1)*('all'!L$3:L$44&lt;=4)*1)</f>
        <v/>
      </c>
      <c r="E29" s="101">
        <f>SUMPRODUCT(--('all'!L$3:L$44=0))</f>
        <v/>
      </c>
      <c r="F29" s="101">
        <f>D29+E29</f>
        <v/>
      </c>
      <c r="G29" s="103">
        <f>IF(F29=0,"-",D29/F29)</f>
        <v/>
      </c>
    </row>
    <row r="30">
      <c r="A30" s="99" t="n">
        <v>11</v>
      </c>
      <c r="B30" s="93">
        <f>'all'!M2</f>
        <v/>
      </c>
      <c r="C30" s="99">
        <f>'all'!M1</f>
        <v/>
      </c>
      <c r="D30" s="99">
        <f>SUMPRODUCT(('all'!M$3:M$44&gt;=1)*('all'!M$3:M$44&lt;=4)*1)</f>
        <v/>
      </c>
      <c r="E30" s="99">
        <f>SUMPRODUCT(--('all'!M$3:M$44=0))</f>
        <v/>
      </c>
      <c r="F30" s="99">
        <f>D30+E30</f>
        <v/>
      </c>
      <c r="G30" s="100">
        <f>IF(F30=0,"-",D30/F30)</f>
        <v/>
      </c>
    </row>
    <row r="31">
      <c r="A31" s="101" t="n">
        <v>12</v>
      </c>
      <c r="B31" s="102">
        <f>'all'!N2</f>
        <v/>
      </c>
      <c r="C31" s="101">
        <f>'all'!M1</f>
        <v/>
      </c>
      <c r="D31" s="101">
        <f>SUMPRODUCT(('all'!N$3:N$44&gt;=1)*('all'!N$3:N$44&lt;=4)*1)</f>
        <v/>
      </c>
      <c r="E31" s="101">
        <f>SUMPRODUCT(--('all'!N$3:N$44=0))</f>
        <v/>
      </c>
      <c r="F31" s="101">
        <f>D31+E31</f>
        <v/>
      </c>
      <c r="G31" s="103">
        <f>IF(F31=0,"-",D31/F31)</f>
        <v/>
      </c>
    </row>
    <row r="32">
      <c r="A32" s="99" t="n">
        <v>13</v>
      </c>
      <c r="B32" s="93">
        <f>'all'!O2</f>
        <v/>
      </c>
      <c r="C32" s="99">
        <f>'all'!O1</f>
        <v/>
      </c>
      <c r="D32" s="99">
        <f>SUMPRODUCT(('all'!O$3:O$44&gt;=1)*('all'!O$3:O$44&lt;=4)*1)</f>
        <v/>
      </c>
      <c r="E32" s="99">
        <f>SUMPRODUCT(--('all'!O$3:O$44=0))</f>
        <v/>
      </c>
      <c r="F32" s="99">
        <f>D32+E32</f>
        <v/>
      </c>
      <c r="G32" s="100">
        <f>IF(F32=0,"-",D32/F32)</f>
        <v/>
      </c>
    </row>
    <row r="33">
      <c r="A33" s="101" t="n">
        <v>14</v>
      </c>
      <c r="B33" s="102">
        <f>'all'!P2</f>
        <v/>
      </c>
      <c r="C33" s="101">
        <f>'all'!O1</f>
        <v/>
      </c>
      <c r="D33" s="101">
        <f>SUMPRODUCT(('all'!P$3:P$44&gt;=1)*('all'!P$3:P$44&lt;=4)*1)</f>
        <v/>
      </c>
      <c r="E33" s="101">
        <f>SUMPRODUCT(--('all'!P$3:P$44=0))</f>
        <v/>
      </c>
      <c r="F33" s="101">
        <f>D33+E33</f>
        <v/>
      </c>
      <c r="G33" s="103">
        <f>IF(F33=0,"-",D33/F33)</f>
        <v/>
      </c>
    </row>
    <row r="34">
      <c r="A34" s="99" t="n">
        <v>15</v>
      </c>
      <c r="B34" s="93">
        <f>'all'!Q2</f>
        <v/>
      </c>
      <c r="C34" s="99">
        <f>'all'!Q1</f>
        <v/>
      </c>
      <c r="D34" s="99">
        <f>SUMPRODUCT(('all'!Q$3:Q$44&gt;=1)*('all'!Q$3:Q$44&lt;=4)*1)</f>
        <v/>
      </c>
      <c r="E34" s="99">
        <f>SUMPRODUCT(--('all'!Q$3:Q$44=0))</f>
        <v/>
      </c>
      <c r="F34" s="99">
        <f>D34+E34</f>
        <v/>
      </c>
      <c r="G34" s="100">
        <f>IF(F34=0,"-",D34/F34)</f>
        <v/>
      </c>
    </row>
    <row r="35">
      <c r="A35" s="101" t="n">
        <v>16</v>
      </c>
      <c r="B35" s="102">
        <f>'all'!R2</f>
        <v/>
      </c>
      <c r="C35" s="101">
        <f>'all'!Q1</f>
        <v/>
      </c>
      <c r="D35" s="101">
        <f>SUMPRODUCT(('all'!R$3:R$44&gt;=1)*('all'!R$3:R$44&lt;=4)*1)</f>
        <v/>
      </c>
      <c r="E35" s="101">
        <f>SUMPRODUCT(--('all'!R$3:R$44=0))</f>
        <v/>
      </c>
      <c r="F35" s="101">
        <f>D35+E35</f>
        <v/>
      </c>
      <c r="G35" s="103">
        <f>IF(F35=0,"-",D35/F35)</f>
        <v/>
      </c>
    </row>
    <row r="36">
      <c r="A36" s="99" t="n">
        <v>17</v>
      </c>
      <c r="B36" s="93">
        <f>'all'!S2</f>
        <v/>
      </c>
      <c r="C36" s="99">
        <f>'all'!S1</f>
        <v/>
      </c>
      <c r="D36" s="99">
        <f>SUMPRODUCT(('all'!S$3:S$44&gt;=1)*('all'!S$3:S$44&lt;=4)*1)</f>
        <v/>
      </c>
      <c r="E36" s="99">
        <f>SUMPRODUCT(--('all'!S$3:S$44=0))</f>
        <v/>
      </c>
      <c r="F36" s="99">
        <f>D36+E36</f>
        <v/>
      </c>
      <c r="G36" s="100">
        <f>IF(F36=0,"-",D36/F36)</f>
        <v/>
      </c>
    </row>
    <row r="37">
      <c r="A37" s="101" t="n">
        <v>18</v>
      </c>
      <c r="B37" s="102">
        <f>'all'!T2</f>
        <v/>
      </c>
      <c r="C37" s="101">
        <f>'all'!S1</f>
        <v/>
      </c>
      <c r="D37" s="101">
        <f>SUMPRODUCT(('all'!T$3:T$44&gt;=1)*('all'!T$3:T$44&lt;=4)*1)</f>
        <v/>
      </c>
      <c r="E37" s="101">
        <f>SUMPRODUCT(--('all'!T$3:T$44=0))</f>
        <v/>
      </c>
      <c r="F37" s="101">
        <f>D37+E37</f>
        <v/>
      </c>
      <c r="G37" s="103">
        <f>IF(F37=0,"-",D37/F37)</f>
        <v/>
      </c>
    </row>
    <row r="38">
      <c r="A38" s="99" t="n">
        <v>19</v>
      </c>
      <c r="B38" s="93">
        <f>'all'!U2</f>
        <v/>
      </c>
      <c r="C38" s="99">
        <f>'all'!U1</f>
        <v/>
      </c>
      <c r="D38" s="99">
        <f>SUMPRODUCT(('all'!U$3:U$44&gt;=1)*('all'!U$3:U$44&lt;=4)*1)</f>
        <v/>
      </c>
      <c r="E38" s="99">
        <f>SUMPRODUCT(--('all'!U$3:U$44=0))</f>
        <v/>
      </c>
      <c r="F38" s="99">
        <f>D38+E38</f>
        <v/>
      </c>
      <c r="G38" s="100">
        <f>IF(F38=0,"-",D38/F38)</f>
        <v/>
      </c>
    </row>
    <row r="39">
      <c r="A39" s="101" t="n">
        <v>20</v>
      </c>
      <c r="B39" s="102">
        <f>'all'!V2</f>
        <v/>
      </c>
      <c r="C39" s="101">
        <f>'all'!U1</f>
        <v/>
      </c>
      <c r="D39" s="101">
        <f>SUMPRODUCT(('all'!V$3:V$44&gt;=1)*('all'!V$3:V$44&lt;=4)*1)</f>
        <v/>
      </c>
      <c r="E39" s="101">
        <f>SUMPRODUCT(--('all'!V$3:V$44=0))</f>
        <v/>
      </c>
      <c r="F39" s="101">
        <f>D39+E39</f>
        <v/>
      </c>
      <c r="G39" s="103">
        <f>IF(F39=0,"-",D39/F39)</f>
        <v/>
      </c>
    </row>
    <row r="40">
      <c r="A40" s="99" t="n">
        <v>21</v>
      </c>
      <c r="B40" s="93">
        <f>'all'!W2</f>
        <v/>
      </c>
      <c r="C40" s="99">
        <f>'all'!W1</f>
        <v/>
      </c>
      <c r="D40" s="99">
        <f>SUMPRODUCT(('all'!W$3:W$44&gt;=1)*('all'!W$3:W$44&lt;=4)*1)</f>
        <v/>
      </c>
      <c r="E40" s="99">
        <f>SUMPRODUCT(--('all'!W$3:W$44=0))</f>
        <v/>
      </c>
      <c r="F40" s="99">
        <f>D40+E40</f>
        <v/>
      </c>
      <c r="G40" s="100">
        <f>IF(F40=0,"-",D40/F40)</f>
        <v/>
      </c>
    </row>
    <row r="41">
      <c r="A41" s="101" t="n">
        <v>22</v>
      </c>
      <c r="B41" s="102">
        <f>'all'!X2</f>
        <v/>
      </c>
      <c r="C41" s="101">
        <f>'all'!W1</f>
        <v/>
      </c>
      <c r="D41" s="101">
        <f>SUMPRODUCT(('all'!X$3:X$44&gt;=1)*('all'!X$3:X$44&lt;=4)*1)</f>
        <v/>
      </c>
      <c r="E41" s="101">
        <f>SUMPRODUCT(--('all'!X$3:X$44=0))</f>
        <v/>
      </c>
      <c r="F41" s="101">
        <f>D41+E41</f>
        <v/>
      </c>
      <c r="G41" s="103">
        <f>IF(F41=0,"-",D41/F41)</f>
        <v/>
      </c>
    </row>
    <row r="42">
      <c r="A42" s="99" t="n">
        <v>23</v>
      </c>
      <c r="B42" s="93">
        <f>'all'!Y2</f>
        <v/>
      </c>
      <c r="C42" s="99">
        <f>'all'!Y1</f>
        <v/>
      </c>
      <c r="D42" s="99">
        <f>SUMPRODUCT(('all'!Y$3:Y$44&gt;=1)*('all'!Y$3:Y$44&lt;=4)*1)</f>
        <v/>
      </c>
      <c r="E42" s="99">
        <f>SUMPRODUCT(--('all'!Y$3:Y$44=0))</f>
        <v/>
      </c>
      <c r="F42" s="99">
        <f>D42+E42</f>
        <v/>
      </c>
      <c r="G42" s="100">
        <f>IF(F42=0,"-",D42/F42)</f>
        <v/>
      </c>
    </row>
    <row r="43">
      <c r="A43" s="101" t="n">
        <v>24</v>
      </c>
      <c r="B43" s="102">
        <f>'all'!Z2</f>
        <v/>
      </c>
      <c r="C43" s="101">
        <f>'all'!Y1</f>
        <v/>
      </c>
      <c r="D43" s="101">
        <f>SUMPRODUCT(('all'!Z$3:Z$44&gt;=1)*('all'!Z$3:Z$44&lt;=4)*1)</f>
        <v/>
      </c>
      <c r="E43" s="101">
        <f>SUMPRODUCT(--('all'!Z$3:Z$44=0))</f>
        <v/>
      </c>
      <c r="F43" s="101">
        <f>D43+E43</f>
        <v/>
      </c>
      <c r="G43" s="103">
        <f>IF(F43=0,"-",D43/F43)</f>
        <v/>
      </c>
    </row>
    <row r="44">
      <c r="A44" s="99" t="n">
        <v>25</v>
      </c>
      <c r="B44" s="93">
        <f>'all'!AA2</f>
        <v/>
      </c>
      <c r="C44" s="99">
        <f>'all'!AA1</f>
        <v/>
      </c>
      <c r="D44" s="99">
        <f>SUMPRODUCT(('all'!AA$3:AA$44&gt;=1)*('all'!AA$3:AA$44&lt;=4)*1)</f>
        <v/>
      </c>
      <c r="E44" s="99">
        <f>SUMPRODUCT(--('all'!AA$3:AA$44=0))</f>
        <v/>
      </c>
      <c r="F44" s="99">
        <f>D44+E44</f>
        <v/>
      </c>
      <c r="G44" s="100">
        <f>IF(F44=0,"-",D44/F44)</f>
        <v/>
      </c>
    </row>
    <row r="45">
      <c r="A45" s="101" t="n">
        <v>26</v>
      </c>
      <c r="B45" s="102">
        <f>'all'!AB2</f>
        <v/>
      </c>
      <c r="C45" s="101">
        <f>'all'!AA1</f>
        <v/>
      </c>
      <c r="D45" s="101">
        <f>SUMPRODUCT(('all'!AB$3:AB$44&gt;=1)*('all'!AB$3:AB$44&lt;=4)*1)</f>
        <v/>
      </c>
      <c r="E45" s="101">
        <f>SUMPRODUCT(--('all'!AB$3:AB$44=0))</f>
        <v/>
      </c>
      <c r="F45" s="101">
        <f>D45+E45</f>
        <v/>
      </c>
      <c r="G45" s="103">
        <f>IF(F45=0,"-",D45/F45)</f>
        <v/>
      </c>
    </row>
    <row r="46">
      <c r="A46" s="99" t="n">
        <v>27</v>
      </c>
      <c r="B46" s="93">
        <f>'all'!AC2</f>
        <v/>
      </c>
      <c r="C46" s="99">
        <f>'all'!AC1</f>
        <v/>
      </c>
      <c r="D46" s="99">
        <f>SUMPRODUCT(('all'!AC$3:AC$44&gt;=1)*('all'!AC$3:AC$44&lt;=4)*1)</f>
        <v/>
      </c>
      <c r="E46" s="99">
        <f>SUMPRODUCT(--('all'!AC$3:AC$44=0))</f>
        <v/>
      </c>
      <c r="F46" s="99">
        <f>D46+E46</f>
        <v/>
      </c>
      <c r="G46" s="100">
        <f>IF(F46=0,"-",D46/F46)</f>
        <v/>
      </c>
    </row>
    <row r="47">
      <c r="A47" s="101" t="n">
        <v>28</v>
      </c>
      <c r="B47" s="102">
        <f>'all'!AD2</f>
        <v/>
      </c>
      <c r="C47" s="101">
        <f>'all'!AC1</f>
        <v/>
      </c>
      <c r="D47" s="101">
        <f>SUMPRODUCT(('all'!AD$3:AD$44&gt;=1)*('all'!AD$3:AD$44&lt;=4)*1)</f>
        <v/>
      </c>
      <c r="E47" s="101">
        <f>SUMPRODUCT(--('all'!AD$3:AD$44=0))</f>
        <v/>
      </c>
      <c r="F47" s="101">
        <f>D47+E47</f>
        <v/>
      </c>
      <c r="G47" s="103">
        <f>IF(F47=0,"-",D47/F47)</f>
        <v/>
      </c>
    </row>
    <row r="49">
      <c r="A49" s="104" t="inlineStr">
        <is>
          <t>BY STUDENT</t>
        </is>
      </c>
    </row>
    <row r="50">
      <c r="A50" s="98" t="inlineStr">
        <is>
          <t>#</t>
        </is>
      </c>
      <c r="B50" s="98" t="inlineStr">
        <is>
          <t>Student</t>
        </is>
      </c>
      <c r="C50" s="98" t="inlineStr">
        <is>
          <t>Attended</t>
        </is>
      </c>
      <c r="D50" s="98" t="inlineStr">
        <is>
          <t>Absent</t>
        </is>
      </c>
      <c r="E50" s="98" t="inlineStr">
        <is>
          <t>Marked</t>
        </is>
      </c>
      <c r="F50" s="98" t="inlineStr">
        <is>
          <t>Presence %</t>
        </is>
      </c>
      <c r="G50" s="98" t="inlineStr">
        <is>
          <t>Quality %</t>
        </is>
      </c>
      <c r="H50" s="98" t="inlineStr">
        <is>
          <t>Flag</t>
        </is>
      </c>
    </row>
    <row r="51">
      <c r="A51" s="99">
        <f>'all'!A3</f>
        <v/>
      </c>
      <c r="B51" s="105">
        <f>'all'!B3</f>
        <v/>
      </c>
      <c r="C51" s="99">
        <f>SUMPRODUCT(('all'!C3:AD3&gt;=1)*('all'!C3:AD3&lt;=4)*1)</f>
        <v/>
      </c>
      <c r="D51" s="99">
        <f>SUMPRODUCT(--('all'!C3:AD3=0))</f>
        <v/>
      </c>
      <c r="E51" s="99">
        <f>C51+D51</f>
        <v/>
      </c>
      <c r="F51" s="100">
        <f>IF(E51=0,"-",C51/E51)</f>
        <v/>
      </c>
      <c r="G51" s="100">
        <f>IF(E51=0,"-",SUMPRODUCT(('all'!C3:AD3=1)*1+('all'!C3:AD3=2)*0.75+('all'!C3:AD3=3)*0.69+('all'!C3:AD3=4)*0.63)/E51)</f>
        <v/>
      </c>
      <c r="H51" s="93">
        <f>IF(E51=0,"",IF(NOT(ISNUMBER(F51)),"",IF(AND(F51=MAX($F$51:$F$92),F51=MIN($F$51:$F$92)),"Tied",IF(F51=MAX($F$51:$F$92),"Most attended",IF(F51=MIN($F$51:$F$92),"Most absent","")))))</f>
        <v/>
      </c>
    </row>
    <row r="52">
      <c r="A52" s="101">
        <f>'all'!A4</f>
        <v/>
      </c>
      <c r="B52" s="106">
        <f>'all'!B4</f>
        <v/>
      </c>
      <c r="C52" s="101">
        <f>SUMPRODUCT(('all'!C4:AD4&gt;=1)*('all'!C4:AD4&lt;=4)*1)</f>
        <v/>
      </c>
      <c r="D52" s="101">
        <f>SUMPRODUCT(--('all'!C4:AD4=0))</f>
        <v/>
      </c>
      <c r="E52" s="101">
        <f>C52+D52</f>
        <v/>
      </c>
      <c r="F52" s="103">
        <f>IF(E52=0,"-",C52/E52)</f>
        <v/>
      </c>
      <c r="G52" s="103">
        <f>IF(E52=0,"-",SUMPRODUCT(('all'!C4:AD4=1)*1+('all'!C4:AD4=2)*0.75+('all'!C4:AD4=3)*0.69+('all'!C4:AD4=4)*0.63)/E52)</f>
        <v/>
      </c>
      <c r="H52" s="102">
        <f>IF(E52=0,"",IF(NOT(ISNUMBER(F52)),"",IF(AND(F52=MAX($F$51:$F$92),F52=MIN($F$51:$F$92)),"Tied",IF(F52=MAX($F$51:$F$92),"Most attended",IF(F52=MIN($F$51:$F$92),"Most absent","")))))</f>
        <v/>
      </c>
    </row>
    <row r="53">
      <c r="A53" s="99">
        <f>'all'!A5</f>
        <v/>
      </c>
      <c r="B53" s="105">
        <f>'all'!B5</f>
        <v/>
      </c>
      <c r="C53" s="99">
        <f>SUMPRODUCT(('all'!C5:AD5&gt;=1)*('all'!C5:AD5&lt;=4)*1)</f>
        <v/>
      </c>
      <c r="D53" s="99">
        <f>SUMPRODUCT(--('all'!C5:AD5=0))</f>
        <v/>
      </c>
      <c r="E53" s="99">
        <f>C53+D53</f>
        <v/>
      </c>
      <c r="F53" s="100">
        <f>IF(E53=0,"-",C53/E53)</f>
        <v/>
      </c>
      <c r="G53" s="100">
        <f>IF(E53=0,"-",SUMPRODUCT(('all'!C5:AD5=1)*1+('all'!C5:AD5=2)*0.75+('all'!C5:AD5=3)*0.69+('all'!C5:AD5=4)*0.63)/E53)</f>
        <v/>
      </c>
      <c r="H53" s="93">
        <f>IF(E53=0,"",IF(NOT(ISNUMBER(F53)),"",IF(AND(F53=MAX($F$51:$F$92),F53=MIN($F$51:$F$92)),"Tied",IF(F53=MAX($F$51:$F$92),"Most attended",IF(F53=MIN($F$51:$F$92),"Most absent","")))))</f>
        <v/>
      </c>
    </row>
    <row r="54">
      <c r="A54" s="101">
        <f>'all'!A6</f>
        <v/>
      </c>
      <c r="B54" s="106">
        <f>'all'!B6</f>
        <v/>
      </c>
      <c r="C54" s="101">
        <f>SUMPRODUCT(('all'!C6:AD6&gt;=1)*('all'!C6:AD6&lt;=4)*1)</f>
        <v/>
      </c>
      <c r="D54" s="101">
        <f>SUMPRODUCT(--('all'!C6:AD6=0))</f>
        <v/>
      </c>
      <c r="E54" s="101">
        <f>C54+D54</f>
        <v/>
      </c>
      <c r="F54" s="103">
        <f>IF(E54=0,"-",C54/E54)</f>
        <v/>
      </c>
      <c r="G54" s="103">
        <f>IF(E54=0,"-",SUMPRODUCT(('all'!C6:AD6=1)*1+('all'!C6:AD6=2)*0.75+('all'!C6:AD6=3)*0.69+('all'!C6:AD6=4)*0.63)/E54)</f>
        <v/>
      </c>
      <c r="H54" s="102">
        <f>IF(E54=0,"",IF(NOT(ISNUMBER(F54)),"",IF(AND(F54=MAX($F$51:$F$92),F54=MIN($F$51:$F$92)),"Tied",IF(F54=MAX($F$51:$F$92),"Most attended",IF(F54=MIN($F$51:$F$92),"Most absent","")))))</f>
        <v/>
      </c>
    </row>
    <row r="55">
      <c r="A55" s="99">
        <f>'all'!A7</f>
        <v/>
      </c>
      <c r="B55" s="105">
        <f>'all'!B7</f>
        <v/>
      </c>
      <c r="C55" s="99">
        <f>SUMPRODUCT(('all'!C7:AD7&gt;=1)*('all'!C7:AD7&lt;=4)*1)</f>
        <v/>
      </c>
      <c r="D55" s="99">
        <f>SUMPRODUCT(--('all'!C7:AD7=0))</f>
        <v/>
      </c>
      <c r="E55" s="99">
        <f>C55+D55</f>
        <v/>
      </c>
      <c r="F55" s="100">
        <f>IF(E55=0,"-",C55/E55)</f>
        <v/>
      </c>
      <c r="G55" s="100">
        <f>IF(E55=0,"-",SUMPRODUCT(('all'!C7:AD7=1)*1+('all'!C7:AD7=2)*0.75+('all'!C7:AD7=3)*0.69+('all'!C7:AD7=4)*0.63)/E55)</f>
        <v/>
      </c>
      <c r="H55" s="93">
        <f>IF(E55=0,"",IF(NOT(ISNUMBER(F55)),"",IF(AND(F55=MAX($F$51:$F$92),F55=MIN($F$51:$F$92)),"Tied",IF(F55=MAX($F$51:$F$92),"Most attended",IF(F55=MIN($F$51:$F$92),"Most absent","")))))</f>
        <v/>
      </c>
    </row>
    <row r="56">
      <c r="A56" s="101">
        <f>'all'!A8</f>
        <v/>
      </c>
      <c r="B56" s="106">
        <f>'all'!B8</f>
        <v/>
      </c>
      <c r="C56" s="101">
        <f>SUMPRODUCT(('all'!C8:AD8&gt;=1)*('all'!C8:AD8&lt;=4)*1)</f>
        <v/>
      </c>
      <c r="D56" s="101">
        <f>SUMPRODUCT(--('all'!C8:AD8=0))</f>
        <v/>
      </c>
      <c r="E56" s="101">
        <f>C56+D56</f>
        <v/>
      </c>
      <c r="F56" s="103">
        <f>IF(E56=0,"-",C56/E56)</f>
        <v/>
      </c>
      <c r="G56" s="103">
        <f>IF(E56=0,"-",SUMPRODUCT(('all'!C8:AD8=1)*1+('all'!C8:AD8=2)*0.75+('all'!C8:AD8=3)*0.69+('all'!C8:AD8=4)*0.63)/E56)</f>
        <v/>
      </c>
      <c r="H56" s="102">
        <f>IF(E56=0,"",IF(NOT(ISNUMBER(F56)),"",IF(AND(F56=MAX($F$51:$F$92),F56=MIN($F$51:$F$92)),"Tied",IF(F56=MAX($F$51:$F$92),"Most attended",IF(F56=MIN($F$51:$F$92),"Most absent","")))))</f>
        <v/>
      </c>
    </row>
    <row r="57">
      <c r="A57" s="99">
        <f>'all'!A9</f>
        <v/>
      </c>
      <c r="B57" s="105">
        <f>'all'!B9</f>
        <v/>
      </c>
      <c r="C57" s="99">
        <f>SUMPRODUCT(('all'!C9:AD9&gt;=1)*('all'!C9:AD9&lt;=4)*1)</f>
        <v/>
      </c>
      <c r="D57" s="99">
        <f>SUMPRODUCT(--('all'!C9:AD9=0))</f>
        <v/>
      </c>
      <c r="E57" s="99">
        <f>C57+D57</f>
        <v/>
      </c>
      <c r="F57" s="100">
        <f>IF(E57=0,"-",C57/E57)</f>
        <v/>
      </c>
      <c r="G57" s="100">
        <f>IF(E57=0,"-",SUMPRODUCT(('all'!C9:AD9=1)*1+('all'!C9:AD9=2)*0.75+('all'!C9:AD9=3)*0.69+('all'!C9:AD9=4)*0.63)/E57)</f>
        <v/>
      </c>
      <c r="H57" s="93">
        <f>IF(E57=0,"",IF(NOT(ISNUMBER(F57)),"",IF(AND(F57=MAX($F$51:$F$92),F57=MIN($F$51:$F$92)),"Tied",IF(F57=MAX($F$51:$F$92),"Most attended",IF(F57=MIN($F$51:$F$92),"Most absent","")))))</f>
        <v/>
      </c>
    </row>
    <row r="58">
      <c r="A58" s="101">
        <f>'all'!A10</f>
        <v/>
      </c>
      <c r="B58" s="106">
        <f>'all'!B10</f>
        <v/>
      </c>
      <c r="C58" s="101">
        <f>SUMPRODUCT(('all'!C10:AD10&gt;=1)*('all'!C10:AD10&lt;=4)*1)</f>
        <v/>
      </c>
      <c r="D58" s="101">
        <f>SUMPRODUCT(--('all'!C10:AD10=0))</f>
        <v/>
      </c>
      <c r="E58" s="101">
        <f>C58+D58</f>
        <v/>
      </c>
      <c r="F58" s="103">
        <f>IF(E58=0,"-",C58/E58)</f>
        <v/>
      </c>
      <c r="G58" s="103">
        <f>IF(E58=0,"-",SUMPRODUCT(('all'!C10:AD10=1)*1+('all'!C10:AD10=2)*0.75+('all'!C10:AD10=3)*0.69+('all'!C10:AD10=4)*0.63)/E58)</f>
        <v/>
      </c>
      <c r="H58" s="102">
        <f>IF(E58=0,"",IF(NOT(ISNUMBER(F58)),"",IF(AND(F58=MAX($F$51:$F$92),F58=MIN($F$51:$F$92)),"Tied",IF(F58=MAX($F$51:$F$92),"Most attended",IF(F58=MIN($F$51:$F$92),"Most absent","")))))</f>
        <v/>
      </c>
    </row>
    <row r="59">
      <c r="A59" s="99">
        <f>'all'!A11</f>
        <v/>
      </c>
      <c r="B59" s="105">
        <f>'all'!B11</f>
        <v/>
      </c>
      <c r="C59" s="99">
        <f>SUMPRODUCT(('all'!C11:AD11&gt;=1)*('all'!C11:AD11&lt;=4)*1)</f>
        <v/>
      </c>
      <c r="D59" s="99">
        <f>SUMPRODUCT(--('all'!C11:AD11=0))</f>
        <v/>
      </c>
      <c r="E59" s="99">
        <f>C59+D59</f>
        <v/>
      </c>
      <c r="F59" s="100">
        <f>IF(E59=0,"-",C59/E59)</f>
        <v/>
      </c>
      <c r="G59" s="100">
        <f>IF(E59=0,"-",SUMPRODUCT(('all'!C11:AD11=1)*1+('all'!C11:AD11=2)*0.75+('all'!C11:AD11=3)*0.69+('all'!C11:AD11=4)*0.63)/E59)</f>
        <v/>
      </c>
      <c r="H59" s="93">
        <f>IF(E59=0,"",IF(NOT(ISNUMBER(F59)),"",IF(AND(F59=MAX($F$51:$F$92),F59=MIN($F$51:$F$92)),"Tied",IF(F59=MAX($F$51:$F$92),"Most attended",IF(F59=MIN($F$51:$F$92),"Most absent","")))))</f>
        <v/>
      </c>
    </row>
    <row r="60">
      <c r="A60" s="101">
        <f>'all'!A12</f>
        <v/>
      </c>
      <c r="B60" s="106">
        <f>'all'!B12</f>
        <v/>
      </c>
      <c r="C60" s="101">
        <f>SUMPRODUCT(('all'!C12:AD12&gt;=1)*('all'!C12:AD12&lt;=4)*1)</f>
        <v/>
      </c>
      <c r="D60" s="101">
        <f>SUMPRODUCT(--('all'!C12:AD12=0))</f>
        <v/>
      </c>
      <c r="E60" s="101">
        <f>C60+D60</f>
        <v/>
      </c>
      <c r="F60" s="103">
        <f>IF(E60=0,"-",C60/E60)</f>
        <v/>
      </c>
      <c r="G60" s="103">
        <f>IF(E60=0,"-",SUMPRODUCT(('all'!C12:AD12=1)*1+('all'!C12:AD12=2)*0.75+('all'!C12:AD12=3)*0.69+('all'!C12:AD12=4)*0.63)/E60)</f>
        <v/>
      </c>
      <c r="H60" s="102">
        <f>IF(E60=0,"",IF(NOT(ISNUMBER(F60)),"",IF(AND(F60=MAX($F$51:$F$92),F60=MIN($F$51:$F$92)),"Tied",IF(F60=MAX($F$51:$F$92),"Most attended",IF(F60=MIN($F$51:$F$92),"Most absent","")))))</f>
        <v/>
      </c>
    </row>
    <row r="61">
      <c r="A61" s="99">
        <f>'all'!A13</f>
        <v/>
      </c>
      <c r="B61" s="105">
        <f>'all'!B13</f>
        <v/>
      </c>
      <c r="C61" s="99">
        <f>SUMPRODUCT(('all'!C13:AD13&gt;=1)*('all'!C13:AD13&lt;=4)*1)</f>
        <v/>
      </c>
      <c r="D61" s="99">
        <f>SUMPRODUCT(--('all'!C13:AD13=0))</f>
        <v/>
      </c>
      <c r="E61" s="99">
        <f>C61+D61</f>
        <v/>
      </c>
      <c r="F61" s="100">
        <f>IF(E61=0,"-",C61/E61)</f>
        <v/>
      </c>
      <c r="G61" s="100">
        <f>IF(E61=0,"-",SUMPRODUCT(('all'!C13:AD13=1)*1+('all'!C13:AD13=2)*0.75+('all'!C13:AD13=3)*0.69+('all'!C13:AD13=4)*0.63)/E61)</f>
        <v/>
      </c>
      <c r="H61" s="93">
        <f>IF(E61=0,"",IF(NOT(ISNUMBER(F61)),"",IF(AND(F61=MAX($F$51:$F$92),F61=MIN($F$51:$F$92)),"Tied",IF(F61=MAX($F$51:$F$92),"Most attended",IF(F61=MIN($F$51:$F$92),"Most absent","")))))</f>
        <v/>
      </c>
    </row>
    <row r="62">
      <c r="A62" s="101">
        <f>'all'!A14</f>
        <v/>
      </c>
      <c r="B62" s="106">
        <f>'all'!B14</f>
        <v/>
      </c>
      <c r="C62" s="101">
        <f>SUMPRODUCT(('all'!C14:AD14&gt;=1)*('all'!C14:AD14&lt;=4)*1)</f>
        <v/>
      </c>
      <c r="D62" s="101">
        <f>SUMPRODUCT(--('all'!C14:AD14=0))</f>
        <v/>
      </c>
      <c r="E62" s="101">
        <f>C62+D62</f>
        <v/>
      </c>
      <c r="F62" s="103">
        <f>IF(E62=0,"-",C62/E62)</f>
        <v/>
      </c>
      <c r="G62" s="103">
        <f>IF(E62=0,"-",SUMPRODUCT(('all'!C14:AD14=1)*1+('all'!C14:AD14=2)*0.75+('all'!C14:AD14=3)*0.69+('all'!C14:AD14=4)*0.63)/E62)</f>
        <v/>
      </c>
      <c r="H62" s="102">
        <f>IF(E62=0,"",IF(NOT(ISNUMBER(F62)),"",IF(AND(F62=MAX($F$51:$F$92),F62=MIN($F$51:$F$92)),"Tied",IF(F62=MAX($F$51:$F$92),"Most attended",IF(F62=MIN($F$51:$F$92),"Most absent","")))))</f>
        <v/>
      </c>
    </row>
    <row r="63">
      <c r="A63" s="99">
        <f>'all'!A15</f>
        <v/>
      </c>
      <c r="B63" s="105">
        <f>'all'!B15</f>
        <v/>
      </c>
      <c r="C63" s="99">
        <f>SUMPRODUCT(('all'!C15:AD15&gt;=1)*('all'!C15:AD15&lt;=4)*1)</f>
        <v/>
      </c>
      <c r="D63" s="99">
        <f>SUMPRODUCT(--('all'!C15:AD15=0))</f>
        <v/>
      </c>
      <c r="E63" s="99">
        <f>C63+D63</f>
        <v/>
      </c>
      <c r="F63" s="100">
        <f>IF(E63=0,"-",C63/E63)</f>
        <v/>
      </c>
      <c r="G63" s="100">
        <f>IF(E63=0,"-",SUMPRODUCT(('all'!C15:AD15=1)*1+('all'!C15:AD15=2)*0.75+('all'!C15:AD15=3)*0.69+('all'!C15:AD15=4)*0.63)/E63)</f>
        <v/>
      </c>
      <c r="H63" s="93">
        <f>IF(E63=0,"",IF(NOT(ISNUMBER(F63)),"",IF(AND(F63=MAX($F$51:$F$92),F63=MIN($F$51:$F$92)),"Tied",IF(F63=MAX($F$51:$F$92),"Most attended",IF(F63=MIN($F$51:$F$92),"Most absent","")))))</f>
        <v/>
      </c>
    </row>
    <row r="64">
      <c r="A64" s="101">
        <f>'all'!A16</f>
        <v/>
      </c>
      <c r="B64" s="106">
        <f>'all'!B16</f>
        <v/>
      </c>
      <c r="C64" s="101">
        <f>SUMPRODUCT(('all'!C16:AD16&gt;=1)*('all'!C16:AD16&lt;=4)*1)</f>
        <v/>
      </c>
      <c r="D64" s="101">
        <f>SUMPRODUCT(--('all'!C16:AD16=0))</f>
        <v/>
      </c>
      <c r="E64" s="101">
        <f>C64+D64</f>
        <v/>
      </c>
      <c r="F64" s="103">
        <f>IF(E64=0,"-",C64/E64)</f>
        <v/>
      </c>
      <c r="G64" s="103">
        <f>IF(E64=0,"-",SUMPRODUCT(('all'!C16:AD16=1)*1+('all'!C16:AD16=2)*0.75+('all'!C16:AD16=3)*0.69+('all'!C16:AD16=4)*0.63)/E64)</f>
        <v/>
      </c>
      <c r="H64" s="102">
        <f>IF(E64=0,"",IF(NOT(ISNUMBER(F64)),"",IF(AND(F64=MAX($F$51:$F$92),F64=MIN($F$51:$F$92)),"Tied",IF(F64=MAX($F$51:$F$92),"Most attended",IF(F64=MIN($F$51:$F$92),"Most absent","")))))</f>
        <v/>
      </c>
    </row>
    <row r="65">
      <c r="A65" s="99">
        <f>'all'!A17</f>
        <v/>
      </c>
      <c r="B65" s="105">
        <f>'all'!B17</f>
        <v/>
      </c>
      <c r="C65" s="99">
        <f>SUMPRODUCT(('all'!C17:AD17&gt;=1)*('all'!C17:AD17&lt;=4)*1)</f>
        <v/>
      </c>
      <c r="D65" s="99">
        <f>SUMPRODUCT(--('all'!C17:AD17=0))</f>
        <v/>
      </c>
      <c r="E65" s="99">
        <f>C65+D65</f>
        <v/>
      </c>
      <c r="F65" s="100">
        <f>IF(E65=0,"-",C65/E65)</f>
        <v/>
      </c>
      <c r="G65" s="100">
        <f>IF(E65=0,"-",SUMPRODUCT(('all'!C17:AD17=1)*1+('all'!C17:AD17=2)*0.75+('all'!C17:AD17=3)*0.69+('all'!C17:AD17=4)*0.63)/E65)</f>
        <v/>
      </c>
      <c r="H65" s="93">
        <f>IF(E65=0,"",IF(NOT(ISNUMBER(F65)),"",IF(AND(F65=MAX($F$51:$F$92),F65=MIN($F$51:$F$92)),"Tied",IF(F65=MAX($F$51:$F$92),"Most attended",IF(F65=MIN($F$51:$F$92),"Most absent","")))))</f>
        <v/>
      </c>
    </row>
    <row r="66">
      <c r="A66" s="101">
        <f>'all'!A18</f>
        <v/>
      </c>
      <c r="B66" s="106">
        <f>'all'!B18</f>
        <v/>
      </c>
      <c r="C66" s="101">
        <f>SUMPRODUCT(('all'!C18:AD18&gt;=1)*('all'!C18:AD18&lt;=4)*1)</f>
        <v/>
      </c>
      <c r="D66" s="101">
        <f>SUMPRODUCT(--('all'!C18:AD18=0))</f>
        <v/>
      </c>
      <c r="E66" s="101">
        <f>C66+D66</f>
        <v/>
      </c>
      <c r="F66" s="103">
        <f>IF(E66=0,"-",C66/E66)</f>
        <v/>
      </c>
      <c r="G66" s="103">
        <f>IF(E66=0,"-",SUMPRODUCT(('all'!C18:AD18=1)*1+('all'!C18:AD18=2)*0.75+('all'!C18:AD18=3)*0.69+('all'!C18:AD18=4)*0.63)/E66)</f>
        <v/>
      </c>
      <c r="H66" s="102">
        <f>IF(E66=0,"",IF(NOT(ISNUMBER(F66)),"",IF(AND(F66=MAX($F$51:$F$92),F66=MIN($F$51:$F$92)),"Tied",IF(F66=MAX($F$51:$F$92),"Most attended",IF(F66=MIN($F$51:$F$92),"Most absent","")))))</f>
        <v/>
      </c>
    </row>
    <row r="67">
      <c r="A67" s="99">
        <f>'all'!A19</f>
        <v/>
      </c>
      <c r="B67" s="105">
        <f>'all'!B19</f>
        <v/>
      </c>
      <c r="C67" s="99">
        <f>SUMPRODUCT(('all'!C19:AD19&gt;=1)*('all'!C19:AD19&lt;=4)*1)</f>
        <v/>
      </c>
      <c r="D67" s="99">
        <f>SUMPRODUCT(--('all'!C19:AD19=0))</f>
        <v/>
      </c>
      <c r="E67" s="99">
        <f>C67+D67</f>
        <v/>
      </c>
      <c r="F67" s="100">
        <f>IF(E67=0,"-",C67/E67)</f>
        <v/>
      </c>
      <c r="G67" s="100">
        <f>IF(E67=0,"-",SUMPRODUCT(('all'!C19:AD19=1)*1+('all'!C19:AD19=2)*0.75+('all'!C19:AD19=3)*0.69+('all'!C19:AD19=4)*0.63)/E67)</f>
        <v/>
      </c>
      <c r="H67" s="93">
        <f>IF(E67=0,"",IF(NOT(ISNUMBER(F67)),"",IF(AND(F67=MAX($F$51:$F$92),F67=MIN($F$51:$F$92)),"Tied",IF(F67=MAX($F$51:$F$92),"Most attended",IF(F67=MIN($F$51:$F$92),"Most absent","")))))</f>
        <v/>
      </c>
    </row>
    <row r="68">
      <c r="A68" s="101">
        <f>'all'!A20</f>
        <v/>
      </c>
      <c r="B68" s="106">
        <f>'all'!B20</f>
        <v/>
      </c>
      <c r="C68" s="101">
        <f>SUMPRODUCT(('all'!C20:AD20&gt;=1)*('all'!C20:AD20&lt;=4)*1)</f>
        <v/>
      </c>
      <c r="D68" s="101">
        <f>SUMPRODUCT(--('all'!C20:AD20=0))</f>
        <v/>
      </c>
      <c r="E68" s="101">
        <f>C68+D68</f>
        <v/>
      </c>
      <c r="F68" s="103">
        <f>IF(E68=0,"-",C68/E68)</f>
        <v/>
      </c>
      <c r="G68" s="103">
        <f>IF(E68=0,"-",SUMPRODUCT(('all'!C20:AD20=1)*1+('all'!C20:AD20=2)*0.75+('all'!C20:AD20=3)*0.69+('all'!C20:AD20=4)*0.63)/E68)</f>
        <v/>
      </c>
      <c r="H68" s="102">
        <f>IF(E68=0,"",IF(NOT(ISNUMBER(F68)),"",IF(AND(F68=MAX($F$51:$F$92),F68=MIN($F$51:$F$92)),"Tied",IF(F68=MAX($F$51:$F$92),"Most attended",IF(F68=MIN($F$51:$F$92),"Most absent","")))))</f>
        <v/>
      </c>
    </row>
    <row r="69">
      <c r="A69" s="99">
        <f>'all'!A21</f>
        <v/>
      </c>
      <c r="B69" s="105">
        <f>'all'!B21</f>
        <v/>
      </c>
      <c r="C69" s="99">
        <f>SUMPRODUCT(('all'!C21:AD21&gt;=1)*('all'!C21:AD21&lt;=4)*1)</f>
        <v/>
      </c>
      <c r="D69" s="99">
        <f>SUMPRODUCT(--('all'!C21:AD21=0))</f>
        <v/>
      </c>
      <c r="E69" s="99">
        <f>C69+D69</f>
        <v/>
      </c>
      <c r="F69" s="100">
        <f>IF(E69=0,"-",C69/E69)</f>
        <v/>
      </c>
      <c r="G69" s="100">
        <f>IF(E69=0,"-",SUMPRODUCT(('all'!C21:AD21=1)*1+('all'!C21:AD21=2)*0.75+('all'!C21:AD21=3)*0.69+('all'!C21:AD21=4)*0.63)/E69)</f>
        <v/>
      </c>
      <c r="H69" s="93">
        <f>IF(E69=0,"",IF(NOT(ISNUMBER(F69)),"",IF(AND(F69=MAX($F$51:$F$92),F69=MIN($F$51:$F$92)),"Tied",IF(F69=MAX($F$51:$F$92),"Most attended",IF(F69=MIN($F$51:$F$92),"Most absent","")))))</f>
        <v/>
      </c>
    </row>
    <row r="70">
      <c r="A70" s="101">
        <f>'all'!A22</f>
        <v/>
      </c>
      <c r="B70" s="106">
        <f>'all'!B22</f>
        <v/>
      </c>
      <c r="C70" s="101">
        <f>SUMPRODUCT(('all'!C22:AD22&gt;=1)*('all'!C22:AD22&lt;=4)*1)</f>
        <v/>
      </c>
      <c r="D70" s="101">
        <f>SUMPRODUCT(--('all'!C22:AD22=0))</f>
        <v/>
      </c>
      <c r="E70" s="101">
        <f>C70+D70</f>
        <v/>
      </c>
      <c r="F70" s="103">
        <f>IF(E70=0,"-",C70/E70)</f>
        <v/>
      </c>
      <c r="G70" s="103">
        <f>IF(E70=0,"-",SUMPRODUCT(('all'!C22:AD22=1)*1+('all'!C22:AD22=2)*0.75+('all'!C22:AD22=3)*0.69+('all'!C22:AD22=4)*0.63)/E70)</f>
        <v/>
      </c>
      <c r="H70" s="102">
        <f>IF(E70=0,"",IF(NOT(ISNUMBER(F70)),"",IF(AND(F70=MAX($F$51:$F$92),F70=MIN($F$51:$F$92)),"Tied",IF(F70=MAX($F$51:$F$92),"Most attended",IF(F70=MIN($F$51:$F$92),"Most absent","")))))</f>
        <v/>
      </c>
    </row>
    <row r="71">
      <c r="A71" s="99">
        <f>'all'!A23</f>
        <v/>
      </c>
      <c r="B71" s="105">
        <f>'all'!B23</f>
        <v/>
      </c>
      <c r="C71" s="99">
        <f>SUMPRODUCT(('all'!C23:AD23&gt;=1)*('all'!C23:AD23&lt;=4)*1)</f>
        <v/>
      </c>
      <c r="D71" s="99">
        <f>SUMPRODUCT(--('all'!C23:AD23=0))</f>
        <v/>
      </c>
      <c r="E71" s="99">
        <f>C71+D71</f>
        <v/>
      </c>
      <c r="F71" s="100">
        <f>IF(E71=0,"-",C71/E71)</f>
        <v/>
      </c>
      <c r="G71" s="100">
        <f>IF(E71=0,"-",SUMPRODUCT(('all'!C23:AD23=1)*1+('all'!C23:AD23=2)*0.75+('all'!C23:AD23=3)*0.69+('all'!C23:AD23=4)*0.63)/E71)</f>
        <v/>
      </c>
      <c r="H71" s="93">
        <f>IF(E71=0,"",IF(NOT(ISNUMBER(F71)),"",IF(AND(F71=MAX($F$51:$F$92),F71=MIN($F$51:$F$92)),"Tied",IF(F71=MAX($F$51:$F$92),"Most attended",IF(F71=MIN($F$51:$F$92),"Most absent","")))))</f>
        <v/>
      </c>
    </row>
    <row r="72">
      <c r="A72" s="101">
        <f>'all'!A24</f>
        <v/>
      </c>
      <c r="B72" s="106">
        <f>'all'!B24</f>
        <v/>
      </c>
      <c r="C72" s="101">
        <f>SUMPRODUCT(('all'!C24:AD24&gt;=1)*('all'!C24:AD24&lt;=4)*1)</f>
        <v/>
      </c>
      <c r="D72" s="101">
        <f>SUMPRODUCT(--('all'!C24:AD24=0))</f>
        <v/>
      </c>
      <c r="E72" s="101">
        <f>C72+D72</f>
        <v/>
      </c>
      <c r="F72" s="103">
        <f>IF(E72=0,"-",C72/E72)</f>
        <v/>
      </c>
      <c r="G72" s="103">
        <f>IF(E72=0,"-",SUMPRODUCT(('all'!C24:AD24=1)*1+('all'!C24:AD24=2)*0.75+('all'!C24:AD24=3)*0.69+('all'!C24:AD24=4)*0.63)/E72)</f>
        <v/>
      </c>
      <c r="H72" s="102">
        <f>IF(E72=0,"",IF(NOT(ISNUMBER(F72)),"",IF(AND(F72=MAX($F$51:$F$92),F72=MIN($F$51:$F$92)),"Tied",IF(F72=MAX($F$51:$F$92),"Most attended",IF(F72=MIN($F$51:$F$92),"Most absent","")))))</f>
        <v/>
      </c>
    </row>
    <row r="73">
      <c r="A73" s="99">
        <f>'all'!A25</f>
        <v/>
      </c>
      <c r="B73" s="105">
        <f>'all'!B25</f>
        <v/>
      </c>
      <c r="C73" s="99">
        <f>SUMPRODUCT(('all'!C25:AD25&gt;=1)*('all'!C25:AD25&lt;=4)*1)</f>
        <v/>
      </c>
      <c r="D73" s="99">
        <f>SUMPRODUCT(--('all'!C25:AD25=0))</f>
        <v/>
      </c>
      <c r="E73" s="99">
        <f>C73+D73</f>
        <v/>
      </c>
      <c r="F73" s="100">
        <f>IF(E73=0,"-",C73/E73)</f>
        <v/>
      </c>
      <c r="G73" s="100">
        <f>IF(E73=0,"-",SUMPRODUCT(('all'!C25:AD25=1)*1+('all'!C25:AD25=2)*0.75+('all'!C25:AD25=3)*0.69+('all'!C25:AD25=4)*0.63)/E73)</f>
        <v/>
      </c>
      <c r="H73" s="93">
        <f>IF(E73=0,"",IF(NOT(ISNUMBER(F73)),"",IF(AND(F73=MAX($F$51:$F$92),F73=MIN($F$51:$F$92)),"Tied",IF(F73=MAX($F$51:$F$92),"Most attended",IF(F73=MIN($F$51:$F$92),"Most absent","")))))</f>
        <v/>
      </c>
    </row>
    <row r="74">
      <c r="A74" s="101">
        <f>'all'!A26</f>
        <v/>
      </c>
      <c r="B74" s="106">
        <f>'all'!B26</f>
        <v/>
      </c>
      <c r="C74" s="101">
        <f>SUMPRODUCT(('all'!C26:AD26&gt;=1)*('all'!C26:AD26&lt;=4)*1)</f>
        <v/>
      </c>
      <c r="D74" s="101">
        <f>SUMPRODUCT(--('all'!C26:AD26=0))</f>
        <v/>
      </c>
      <c r="E74" s="101">
        <f>C74+D74</f>
        <v/>
      </c>
      <c r="F74" s="103">
        <f>IF(E74=0,"-",C74/E74)</f>
        <v/>
      </c>
      <c r="G74" s="103">
        <f>IF(E74=0,"-",SUMPRODUCT(('all'!C26:AD26=1)*1+('all'!C26:AD26=2)*0.75+('all'!C26:AD26=3)*0.69+('all'!C26:AD26=4)*0.63)/E74)</f>
        <v/>
      </c>
      <c r="H74" s="102">
        <f>IF(E74=0,"",IF(NOT(ISNUMBER(F74)),"",IF(AND(F74=MAX($F$51:$F$92),F74=MIN($F$51:$F$92)),"Tied",IF(F74=MAX($F$51:$F$92),"Most attended",IF(F74=MIN($F$51:$F$92),"Most absent","")))))</f>
        <v/>
      </c>
    </row>
    <row r="75">
      <c r="A75" s="99">
        <f>'all'!A27</f>
        <v/>
      </c>
      <c r="B75" s="105">
        <f>'all'!B27</f>
        <v/>
      </c>
      <c r="C75" s="99">
        <f>SUMPRODUCT(('all'!C27:AD27&gt;=1)*('all'!C27:AD27&lt;=4)*1)</f>
        <v/>
      </c>
      <c r="D75" s="99">
        <f>SUMPRODUCT(--('all'!C27:AD27=0))</f>
        <v/>
      </c>
      <c r="E75" s="99">
        <f>C75+D75</f>
        <v/>
      </c>
      <c r="F75" s="100">
        <f>IF(E75=0,"-",C75/E75)</f>
        <v/>
      </c>
      <c r="G75" s="100">
        <f>IF(E75=0,"-",SUMPRODUCT(('all'!C27:AD27=1)*1+('all'!C27:AD27=2)*0.75+('all'!C27:AD27=3)*0.69+('all'!C27:AD27=4)*0.63)/E75)</f>
        <v/>
      </c>
      <c r="H75" s="93">
        <f>IF(E75=0,"",IF(NOT(ISNUMBER(F75)),"",IF(AND(F75=MAX($F$51:$F$92),F75=MIN($F$51:$F$92)),"Tied",IF(F75=MAX($F$51:$F$92),"Most attended",IF(F75=MIN($F$51:$F$92),"Most absent","")))))</f>
        <v/>
      </c>
    </row>
    <row r="76">
      <c r="A76" s="101">
        <f>'all'!A28</f>
        <v/>
      </c>
      <c r="B76" s="106">
        <f>'all'!B28</f>
        <v/>
      </c>
      <c r="C76" s="101">
        <f>SUMPRODUCT(('all'!C28:AD28&gt;=1)*('all'!C28:AD28&lt;=4)*1)</f>
        <v/>
      </c>
      <c r="D76" s="101">
        <f>SUMPRODUCT(--('all'!C28:AD28=0))</f>
        <v/>
      </c>
      <c r="E76" s="101">
        <f>C76+D76</f>
        <v/>
      </c>
      <c r="F76" s="103">
        <f>IF(E76=0,"-",C76/E76)</f>
        <v/>
      </c>
      <c r="G76" s="103">
        <f>IF(E76=0,"-",SUMPRODUCT(('all'!C28:AD28=1)*1+('all'!C28:AD28=2)*0.75+('all'!C28:AD28=3)*0.69+('all'!C28:AD28=4)*0.63)/E76)</f>
        <v/>
      </c>
      <c r="H76" s="102">
        <f>IF(E76=0,"",IF(NOT(ISNUMBER(F76)),"",IF(AND(F76=MAX($F$51:$F$92),F76=MIN($F$51:$F$92)),"Tied",IF(F76=MAX($F$51:$F$92),"Most attended",IF(F76=MIN($F$51:$F$92),"Most absent","")))))</f>
        <v/>
      </c>
    </row>
    <row r="77">
      <c r="A77" s="99">
        <f>'all'!A29</f>
        <v/>
      </c>
      <c r="B77" s="105">
        <f>'all'!B29</f>
        <v/>
      </c>
      <c r="C77" s="99">
        <f>SUMPRODUCT(('all'!C29:AD29&gt;=1)*('all'!C29:AD29&lt;=4)*1)</f>
        <v/>
      </c>
      <c r="D77" s="99">
        <f>SUMPRODUCT(--('all'!C29:AD29=0))</f>
        <v/>
      </c>
      <c r="E77" s="99">
        <f>C77+D77</f>
        <v/>
      </c>
      <c r="F77" s="100">
        <f>IF(E77=0,"-",C77/E77)</f>
        <v/>
      </c>
      <c r="G77" s="100">
        <f>IF(E77=0,"-",SUMPRODUCT(('all'!C29:AD29=1)*1+('all'!C29:AD29=2)*0.75+('all'!C29:AD29=3)*0.69+('all'!C29:AD29=4)*0.63)/E77)</f>
        <v/>
      </c>
      <c r="H77" s="93">
        <f>IF(E77=0,"",IF(NOT(ISNUMBER(F77)),"",IF(AND(F77=MAX($F$51:$F$92),F77=MIN($F$51:$F$92)),"Tied",IF(F77=MAX($F$51:$F$92),"Most attended",IF(F77=MIN($F$51:$F$92),"Most absent","")))))</f>
        <v/>
      </c>
    </row>
    <row r="78">
      <c r="A78" s="101">
        <f>'all'!A30</f>
        <v/>
      </c>
      <c r="B78" s="106">
        <f>'all'!B30</f>
        <v/>
      </c>
      <c r="C78" s="101">
        <f>SUMPRODUCT(('all'!C30:AD30&gt;=1)*('all'!C30:AD30&lt;=4)*1)</f>
        <v/>
      </c>
      <c r="D78" s="101">
        <f>SUMPRODUCT(--('all'!C30:AD30=0))</f>
        <v/>
      </c>
      <c r="E78" s="101">
        <f>C78+D78</f>
        <v/>
      </c>
      <c r="F78" s="103">
        <f>IF(E78=0,"-",C78/E78)</f>
        <v/>
      </c>
      <c r="G78" s="103">
        <f>IF(E78=0,"-",SUMPRODUCT(('all'!C30:AD30=1)*1+('all'!C30:AD30=2)*0.75+('all'!C30:AD30=3)*0.69+('all'!C30:AD30=4)*0.63)/E78)</f>
        <v/>
      </c>
      <c r="H78" s="102">
        <f>IF(E78=0,"",IF(NOT(ISNUMBER(F78)),"",IF(AND(F78=MAX($F$51:$F$92),F78=MIN($F$51:$F$92)),"Tied",IF(F78=MAX($F$51:$F$92),"Most attended",IF(F78=MIN($F$51:$F$92),"Most absent","")))))</f>
        <v/>
      </c>
    </row>
    <row r="79">
      <c r="A79" s="99">
        <f>'all'!A31</f>
        <v/>
      </c>
      <c r="B79" s="105">
        <f>'all'!B31</f>
        <v/>
      </c>
      <c r="C79" s="99">
        <f>SUMPRODUCT(('all'!C31:AD31&gt;=1)*('all'!C31:AD31&lt;=4)*1)</f>
        <v/>
      </c>
      <c r="D79" s="99">
        <f>SUMPRODUCT(--('all'!C31:AD31=0))</f>
        <v/>
      </c>
      <c r="E79" s="99">
        <f>C79+D79</f>
        <v/>
      </c>
      <c r="F79" s="100">
        <f>IF(E79=0,"-",C79/E79)</f>
        <v/>
      </c>
      <c r="G79" s="100">
        <f>IF(E79=0,"-",SUMPRODUCT(('all'!C31:AD31=1)*1+('all'!C31:AD31=2)*0.75+('all'!C31:AD31=3)*0.69+('all'!C31:AD31=4)*0.63)/E79)</f>
        <v/>
      </c>
      <c r="H79" s="93">
        <f>IF(E79=0,"",IF(NOT(ISNUMBER(F79)),"",IF(AND(F79=MAX($F$51:$F$92),F79=MIN($F$51:$F$92)),"Tied",IF(F79=MAX($F$51:$F$92),"Most attended",IF(F79=MIN($F$51:$F$92),"Most absent","")))))</f>
        <v/>
      </c>
    </row>
    <row r="80">
      <c r="A80" s="101">
        <f>'all'!A32</f>
        <v/>
      </c>
      <c r="B80" s="106">
        <f>'all'!B32</f>
        <v/>
      </c>
      <c r="C80" s="101">
        <f>SUMPRODUCT(('all'!C32:AD32&gt;=1)*('all'!C32:AD32&lt;=4)*1)</f>
        <v/>
      </c>
      <c r="D80" s="101">
        <f>SUMPRODUCT(--('all'!C32:AD32=0))</f>
        <v/>
      </c>
      <c r="E80" s="101">
        <f>C80+D80</f>
        <v/>
      </c>
      <c r="F80" s="103">
        <f>IF(E80=0,"-",C80/E80)</f>
        <v/>
      </c>
      <c r="G80" s="103">
        <f>IF(E80=0,"-",SUMPRODUCT(('all'!C32:AD32=1)*1+('all'!C32:AD32=2)*0.75+('all'!C32:AD32=3)*0.69+('all'!C32:AD32=4)*0.63)/E80)</f>
        <v/>
      </c>
      <c r="H80" s="102">
        <f>IF(E80=0,"",IF(NOT(ISNUMBER(F80)),"",IF(AND(F80=MAX($F$51:$F$92),F80=MIN($F$51:$F$92)),"Tied",IF(F80=MAX($F$51:$F$92),"Most attended",IF(F80=MIN($F$51:$F$92),"Most absent","")))))</f>
        <v/>
      </c>
    </row>
    <row r="81">
      <c r="A81" s="99">
        <f>'all'!A33</f>
        <v/>
      </c>
      <c r="B81" s="105">
        <f>'all'!B33</f>
        <v/>
      </c>
      <c r="C81" s="99">
        <f>SUMPRODUCT(('all'!C33:AD33&gt;=1)*('all'!C33:AD33&lt;=4)*1)</f>
        <v/>
      </c>
      <c r="D81" s="99">
        <f>SUMPRODUCT(--('all'!C33:AD33=0))</f>
        <v/>
      </c>
      <c r="E81" s="99">
        <f>C81+D81</f>
        <v/>
      </c>
      <c r="F81" s="100">
        <f>IF(E81=0,"-",C81/E81)</f>
        <v/>
      </c>
      <c r="G81" s="100">
        <f>IF(E81=0,"-",SUMPRODUCT(('all'!C33:AD33=1)*1+('all'!C33:AD33=2)*0.75+('all'!C33:AD33=3)*0.69+('all'!C33:AD33=4)*0.63)/E81)</f>
        <v/>
      </c>
      <c r="H81" s="93">
        <f>IF(E81=0,"",IF(NOT(ISNUMBER(F81)),"",IF(AND(F81=MAX($F$51:$F$92),F81=MIN($F$51:$F$92)),"Tied",IF(F81=MAX($F$51:$F$92),"Most attended",IF(F81=MIN($F$51:$F$92),"Most absent","")))))</f>
        <v/>
      </c>
    </row>
    <row r="82">
      <c r="A82" s="101">
        <f>'all'!A34</f>
        <v/>
      </c>
      <c r="B82" s="106">
        <f>'all'!B34</f>
        <v/>
      </c>
      <c r="C82" s="101">
        <f>SUMPRODUCT(('all'!C34:AD34&gt;=1)*('all'!C34:AD34&lt;=4)*1)</f>
        <v/>
      </c>
      <c r="D82" s="101">
        <f>SUMPRODUCT(--('all'!C34:AD34=0))</f>
        <v/>
      </c>
      <c r="E82" s="101">
        <f>C82+D82</f>
        <v/>
      </c>
      <c r="F82" s="103">
        <f>IF(E82=0,"-",C82/E82)</f>
        <v/>
      </c>
      <c r="G82" s="103">
        <f>IF(E82=0,"-",SUMPRODUCT(('all'!C34:AD34=1)*1+('all'!C34:AD34=2)*0.75+('all'!C34:AD34=3)*0.69+('all'!C34:AD34=4)*0.63)/E82)</f>
        <v/>
      </c>
      <c r="H82" s="102">
        <f>IF(E82=0,"",IF(NOT(ISNUMBER(F82)),"",IF(AND(F82=MAX($F$51:$F$92),F82=MIN($F$51:$F$92)),"Tied",IF(F82=MAX($F$51:$F$92),"Most attended",IF(F82=MIN($F$51:$F$92),"Most absent","")))))</f>
        <v/>
      </c>
    </row>
    <row r="83">
      <c r="A83" s="99">
        <f>'all'!A35</f>
        <v/>
      </c>
      <c r="B83" s="105">
        <f>'all'!B35</f>
        <v/>
      </c>
      <c r="C83" s="99">
        <f>SUMPRODUCT(('all'!C35:AD35&gt;=1)*('all'!C35:AD35&lt;=4)*1)</f>
        <v/>
      </c>
      <c r="D83" s="99">
        <f>SUMPRODUCT(--('all'!C35:AD35=0))</f>
        <v/>
      </c>
      <c r="E83" s="99">
        <f>C83+D83</f>
        <v/>
      </c>
      <c r="F83" s="100">
        <f>IF(E83=0,"-",C83/E83)</f>
        <v/>
      </c>
      <c r="G83" s="100">
        <f>IF(E83=0,"-",SUMPRODUCT(('all'!C35:AD35=1)*1+('all'!C35:AD35=2)*0.75+('all'!C35:AD35=3)*0.69+('all'!C35:AD35=4)*0.63)/E83)</f>
        <v/>
      </c>
      <c r="H83" s="93">
        <f>IF(E83=0,"",IF(NOT(ISNUMBER(F83)),"",IF(AND(F83=MAX($F$51:$F$92),F83=MIN($F$51:$F$92)),"Tied",IF(F83=MAX($F$51:$F$92),"Most attended",IF(F83=MIN($F$51:$F$92),"Most absent","")))))</f>
        <v/>
      </c>
    </row>
    <row r="84">
      <c r="A84" s="101">
        <f>'all'!A36</f>
        <v/>
      </c>
      <c r="B84" s="106">
        <f>'all'!B36</f>
        <v/>
      </c>
      <c r="C84" s="101">
        <f>SUMPRODUCT(('all'!C36:AD36&gt;=1)*('all'!C36:AD36&lt;=4)*1)</f>
        <v/>
      </c>
      <c r="D84" s="101">
        <f>SUMPRODUCT(--('all'!C36:AD36=0))</f>
        <v/>
      </c>
      <c r="E84" s="101">
        <f>C84+D84</f>
        <v/>
      </c>
      <c r="F84" s="103">
        <f>IF(E84=0,"-",C84/E84)</f>
        <v/>
      </c>
      <c r="G84" s="103">
        <f>IF(E84=0,"-",SUMPRODUCT(('all'!C36:AD36=1)*1+('all'!C36:AD36=2)*0.75+('all'!C36:AD36=3)*0.69+('all'!C36:AD36=4)*0.63)/E84)</f>
        <v/>
      </c>
      <c r="H84" s="102">
        <f>IF(E84=0,"",IF(NOT(ISNUMBER(F84)),"",IF(AND(F84=MAX($F$51:$F$92),F84=MIN($F$51:$F$92)),"Tied",IF(F84=MAX($F$51:$F$92),"Most attended",IF(F84=MIN($F$51:$F$92),"Most absent","")))))</f>
        <v/>
      </c>
    </row>
    <row r="85">
      <c r="A85" s="99">
        <f>'all'!A37</f>
        <v/>
      </c>
      <c r="B85" s="105">
        <f>'all'!B37</f>
        <v/>
      </c>
      <c r="C85" s="99">
        <f>SUMPRODUCT(('all'!C37:AD37&gt;=1)*('all'!C37:AD37&lt;=4)*1)</f>
        <v/>
      </c>
      <c r="D85" s="99">
        <f>SUMPRODUCT(--('all'!C37:AD37=0))</f>
        <v/>
      </c>
      <c r="E85" s="99">
        <f>C85+D85</f>
        <v/>
      </c>
      <c r="F85" s="100">
        <f>IF(E85=0,"-",C85/E85)</f>
        <v/>
      </c>
      <c r="G85" s="100">
        <f>IF(E85=0,"-",SUMPRODUCT(('all'!C37:AD37=1)*1+('all'!C37:AD37=2)*0.75+('all'!C37:AD37=3)*0.69+('all'!C37:AD37=4)*0.63)/E85)</f>
        <v/>
      </c>
      <c r="H85" s="93">
        <f>IF(E85=0,"",IF(NOT(ISNUMBER(F85)),"",IF(AND(F85=MAX($F$51:$F$92),F85=MIN($F$51:$F$92)),"Tied",IF(F85=MAX($F$51:$F$92),"Most attended",IF(F85=MIN($F$51:$F$92),"Most absent","")))))</f>
        <v/>
      </c>
    </row>
    <row r="86">
      <c r="A86" s="101">
        <f>'all'!A38</f>
        <v/>
      </c>
      <c r="B86" s="106">
        <f>'all'!B38</f>
        <v/>
      </c>
      <c r="C86" s="101">
        <f>SUMPRODUCT(('all'!C38:AD38&gt;=1)*('all'!C38:AD38&lt;=4)*1)</f>
        <v/>
      </c>
      <c r="D86" s="101">
        <f>SUMPRODUCT(--('all'!C38:AD38=0))</f>
        <v/>
      </c>
      <c r="E86" s="101">
        <f>C86+D86</f>
        <v/>
      </c>
      <c r="F86" s="103">
        <f>IF(E86=0,"-",C86/E86)</f>
        <v/>
      </c>
      <c r="G86" s="103">
        <f>IF(E86=0,"-",SUMPRODUCT(('all'!C38:AD38=1)*1+('all'!C38:AD38=2)*0.75+('all'!C38:AD38=3)*0.69+('all'!C38:AD38=4)*0.63)/E86)</f>
        <v/>
      </c>
      <c r="H86" s="102">
        <f>IF(E86=0,"",IF(NOT(ISNUMBER(F86)),"",IF(AND(F86=MAX($F$51:$F$92),F86=MIN($F$51:$F$92)),"Tied",IF(F86=MAX($F$51:$F$92),"Most attended",IF(F86=MIN($F$51:$F$92),"Most absent","")))))</f>
        <v/>
      </c>
    </row>
    <row r="87">
      <c r="A87" s="99">
        <f>'all'!A39</f>
        <v/>
      </c>
      <c r="B87" s="105">
        <f>'all'!B39</f>
        <v/>
      </c>
      <c r="C87" s="99">
        <f>SUMPRODUCT(('all'!C39:AD39&gt;=1)*('all'!C39:AD39&lt;=4)*1)</f>
        <v/>
      </c>
      <c r="D87" s="99">
        <f>SUMPRODUCT(--('all'!C39:AD39=0))</f>
        <v/>
      </c>
      <c r="E87" s="99">
        <f>C87+D87</f>
        <v/>
      </c>
      <c r="F87" s="100">
        <f>IF(E87=0,"-",C87/E87)</f>
        <v/>
      </c>
      <c r="G87" s="100">
        <f>IF(E87=0,"-",SUMPRODUCT(('all'!C39:AD39=1)*1+('all'!C39:AD39=2)*0.75+('all'!C39:AD39=3)*0.69+('all'!C39:AD39=4)*0.63)/E87)</f>
        <v/>
      </c>
      <c r="H87" s="93">
        <f>IF(E87=0,"",IF(NOT(ISNUMBER(F87)),"",IF(AND(F87=MAX($F$51:$F$92),F87=MIN($F$51:$F$92)),"Tied",IF(F87=MAX($F$51:$F$92),"Most attended",IF(F87=MIN($F$51:$F$92),"Most absent","")))))</f>
        <v/>
      </c>
    </row>
    <row r="88">
      <c r="A88" s="101">
        <f>'all'!A40</f>
        <v/>
      </c>
      <c r="B88" s="106">
        <f>'all'!B40</f>
        <v/>
      </c>
      <c r="C88" s="101">
        <f>SUMPRODUCT(('all'!C40:AD40&gt;=1)*('all'!C40:AD40&lt;=4)*1)</f>
        <v/>
      </c>
      <c r="D88" s="101">
        <f>SUMPRODUCT(--('all'!C40:AD40=0))</f>
        <v/>
      </c>
      <c r="E88" s="101">
        <f>C88+D88</f>
        <v/>
      </c>
      <c r="F88" s="103">
        <f>IF(E88=0,"-",C88/E88)</f>
        <v/>
      </c>
      <c r="G88" s="103">
        <f>IF(E88=0,"-",SUMPRODUCT(('all'!C40:AD40=1)*1+('all'!C40:AD40=2)*0.75+('all'!C40:AD40=3)*0.69+('all'!C40:AD40=4)*0.63)/E88)</f>
        <v/>
      </c>
      <c r="H88" s="102">
        <f>IF(E88=0,"",IF(NOT(ISNUMBER(F88)),"",IF(AND(F88=MAX($F$51:$F$92),F88=MIN($F$51:$F$92)),"Tied",IF(F88=MAX($F$51:$F$92),"Most attended",IF(F88=MIN($F$51:$F$92),"Most absent","")))))</f>
        <v/>
      </c>
    </row>
    <row r="89">
      <c r="A89" s="99">
        <f>'all'!A41</f>
        <v/>
      </c>
      <c r="B89" s="105">
        <f>'all'!B41</f>
        <v/>
      </c>
      <c r="C89" s="99">
        <f>SUMPRODUCT(('all'!C41:AD41&gt;=1)*('all'!C41:AD41&lt;=4)*1)</f>
        <v/>
      </c>
      <c r="D89" s="99">
        <f>SUMPRODUCT(--('all'!C41:AD41=0))</f>
        <v/>
      </c>
      <c r="E89" s="99">
        <f>C89+D89</f>
        <v/>
      </c>
      <c r="F89" s="100">
        <f>IF(E89=0,"-",C89/E89)</f>
        <v/>
      </c>
      <c r="G89" s="100">
        <f>IF(E89=0,"-",SUMPRODUCT(('all'!C41:AD41=1)*1+('all'!C41:AD41=2)*0.75+('all'!C41:AD41=3)*0.69+('all'!C41:AD41=4)*0.63)/E89)</f>
        <v/>
      </c>
      <c r="H89" s="93">
        <f>IF(E89=0,"",IF(NOT(ISNUMBER(F89)),"",IF(AND(F89=MAX($F$51:$F$92),F89=MIN($F$51:$F$92)),"Tied",IF(F89=MAX($F$51:$F$92),"Most attended",IF(F89=MIN($F$51:$F$92),"Most absent","")))))</f>
        <v/>
      </c>
    </row>
    <row r="90">
      <c r="A90" s="101">
        <f>'all'!A42</f>
        <v/>
      </c>
      <c r="B90" s="106">
        <f>'all'!B42</f>
        <v/>
      </c>
      <c r="C90" s="101">
        <f>SUMPRODUCT(('all'!C42:AD42&gt;=1)*('all'!C42:AD42&lt;=4)*1)</f>
        <v/>
      </c>
      <c r="D90" s="101">
        <f>SUMPRODUCT(--('all'!C42:AD42=0))</f>
        <v/>
      </c>
      <c r="E90" s="101">
        <f>C90+D90</f>
        <v/>
      </c>
      <c r="F90" s="103">
        <f>IF(E90=0,"-",C90/E90)</f>
        <v/>
      </c>
      <c r="G90" s="103">
        <f>IF(E90=0,"-",SUMPRODUCT(('all'!C42:AD42=1)*1+('all'!C42:AD42=2)*0.75+('all'!C42:AD42=3)*0.69+('all'!C42:AD42=4)*0.63)/E90)</f>
        <v/>
      </c>
      <c r="H90" s="102">
        <f>IF(E90=0,"",IF(NOT(ISNUMBER(F90)),"",IF(AND(F90=MAX($F$51:$F$92),F90=MIN($F$51:$F$92)),"Tied",IF(F90=MAX($F$51:$F$92),"Most attended",IF(F90=MIN($F$51:$F$92),"Most absent","")))))</f>
        <v/>
      </c>
    </row>
    <row r="91">
      <c r="A91" s="99">
        <f>'all'!A43</f>
        <v/>
      </c>
      <c r="B91" s="105">
        <f>'all'!B43</f>
        <v/>
      </c>
      <c r="C91" s="99">
        <f>SUMPRODUCT(('all'!C43:AD43&gt;=1)*('all'!C43:AD43&lt;=4)*1)</f>
        <v/>
      </c>
      <c r="D91" s="99">
        <f>SUMPRODUCT(--('all'!C43:AD43=0))</f>
        <v/>
      </c>
      <c r="E91" s="99">
        <f>C91+D91</f>
        <v/>
      </c>
      <c r="F91" s="100">
        <f>IF(E91=0,"-",C91/E91)</f>
        <v/>
      </c>
      <c r="G91" s="100">
        <f>IF(E91=0,"-",SUMPRODUCT(('all'!C43:AD43=1)*1+('all'!C43:AD43=2)*0.75+('all'!C43:AD43=3)*0.69+('all'!C43:AD43=4)*0.63)/E91)</f>
        <v/>
      </c>
      <c r="H91" s="93">
        <f>IF(E91=0,"",IF(NOT(ISNUMBER(F91)),"",IF(AND(F91=MAX($F$51:$F$92),F91=MIN($F$51:$F$92)),"Tied",IF(F91=MAX($F$51:$F$92),"Most attended",IF(F91=MIN($F$51:$F$92),"Most absent","")))))</f>
        <v/>
      </c>
    </row>
    <row r="92">
      <c r="A92" s="101">
        <f>'all'!A44</f>
        <v/>
      </c>
      <c r="B92" s="106">
        <f>'all'!B44</f>
        <v/>
      </c>
      <c r="C92" s="101">
        <f>SUMPRODUCT(('all'!C44:AD44&gt;=1)*('all'!C44:AD44&lt;=4)*1)</f>
        <v/>
      </c>
      <c r="D92" s="101">
        <f>SUMPRODUCT(--('all'!C44:AD44=0))</f>
        <v/>
      </c>
      <c r="E92" s="101">
        <f>C92+D92</f>
        <v/>
      </c>
      <c r="F92" s="103">
        <f>IF(E92=0,"-",C92/E92)</f>
        <v/>
      </c>
      <c r="G92" s="103">
        <f>IF(E92=0,"-",SUMPRODUCT(('all'!C44:AD44=1)*1+('all'!C44:AD44=2)*0.75+('all'!C44:AD44=3)*0.69+('all'!C44:AD44=4)*0.63)/E92)</f>
        <v/>
      </c>
      <c r="H92" s="102">
        <f>IF(E92=0,"",IF(NOT(ISNUMBER(F92)),"",IF(AND(F92=MAX($F$51:$F$92),F92=MIN($F$51:$F$92)),"Tied",IF(F92=MAX($F$51:$F$92),"Most attended",IF(F92=MIN($F$51:$F$92),"Most absent","")))))</f>
        <v/>
      </c>
    </row>
  </sheetData>
  <mergeCells count="11">
    <mergeCell ref="B7:F7"/>
    <mergeCell ref="B6:F6"/>
    <mergeCell ref="A18:G18"/>
    <mergeCell ref="B10:F10"/>
    <mergeCell ref="A2:H2"/>
    <mergeCell ref="B5:F5"/>
    <mergeCell ref="A49:H49"/>
    <mergeCell ref="A1:H1"/>
    <mergeCell ref="A4:C4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Mesa, Avyl Mourei</dc:creator>
  <dcterms:created xmlns:dcterms="http://purl.org/dc/terms/" xmlns:xsi="http://www.w3.org/2001/XMLSchema-instance" xsi:type="dcterms:W3CDTF">2025-07-28T00:18:15Z</dcterms:created>
  <dcterms:modified xmlns:dcterms="http://purl.org/dc/terms/" xmlns:xsi="http://www.w3.org/2001/XMLSchema-instance" xsi:type="dcterms:W3CDTF">2026-07-20T05:04:02Z</dcterms:modified>
  <cp:lastModifiedBy>administrator</cp:lastModifiedBy>
  <cp:lastPrinted>2025-07-28T05:06:42Z</cp:lastPrinted>
</cp:coreProperties>
</file>